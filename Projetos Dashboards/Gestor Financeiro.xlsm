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esenvolvimento\Projetos Dashboards\"/>
    </mc:Choice>
  </mc:AlternateContent>
  <xr:revisionPtr revIDLastSave="0" documentId="13_ncr:1_{BB03EF66-53CB-443C-9241-8AA2E94D3A03}" xr6:coauthVersionLast="47" xr6:coauthVersionMax="47" xr10:uidLastSave="{00000000-0000-0000-0000-000000000000}"/>
  <bookViews>
    <workbookView xWindow="-120" yWindow="-120" windowWidth="20730" windowHeight="11040" activeTab="2" xr2:uid="{8A5D96BE-54FC-4A51-8DE7-5EFCDB41BDF7}"/>
  </bookViews>
  <sheets>
    <sheet name="Principal" sheetId="1" r:id="rId1"/>
    <sheet name="Dados" sheetId="5" r:id="rId2"/>
    <sheet name="Base de Dados" sheetId="2" r:id="rId3"/>
    <sheet name="Apoio" sheetId="3" r:id="rId4"/>
    <sheet name="Dashboard" sheetId="4" r:id="rId5"/>
  </sheets>
  <definedNames>
    <definedName name="_xlnm._FilterDatabase" localSheetId="2" hidden="1">'Base de Dados'!$A$1:$I$1</definedName>
    <definedName name="DadosExternos_1" localSheetId="1" hidden="1">Dados!$A$1:$I$196</definedName>
  </definedNames>
  <calcPr calcId="191029"/>
  <pivotCaches>
    <pivotCache cacheId="22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2" l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M30" i="3"/>
  <c r="M27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" i="3"/>
  <c r="B3" i="2"/>
  <c r="B4" i="2"/>
  <c r="B2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950375-F72D-4C70-94BD-D9772EFD56D3}" keepAlive="1" name="Consulta - Dados" description="Conexão com a consulta 'Dados' na pasta de trabalho." type="5" refreshedVersion="7" background="1" saveData="1">
    <dbPr connection="Provider=Microsoft.Mashup.OleDb.1;Data Source=$Workbook$;Location=Dados;Extended Properties=&quot;&quot;" command="SELECT * FROM [Dados]"/>
  </connection>
</connections>
</file>

<file path=xl/sharedStrings.xml><?xml version="1.0" encoding="utf-8"?>
<sst xmlns="http://schemas.openxmlformats.org/spreadsheetml/2006/main" count="2464" uniqueCount="97">
  <si>
    <t>Cadastro de Operações de Débito / Crédito</t>
  </si>
  <si>
    <t>Data</t>
  </si>
  <si>
    <t>Valor</t>
  </si>
  <si>
    <t>Tipo</t>
  </si>
  <si>
    <t>Categoria</t>
  </si>
  <si>
    <t>Descrição</t>
  </si>
  <si>
    <t>Forma de Pagamento</t>
  </si>
  <si>
    <t>Status</t>
  </si>
  <si>
    <t>Mês</t>
  </si>
  <si>
    <t>Ano</t>
  </si>
  <si>
    <t>Abr</t>
  </si>
  <si>
    <t>D</t>
  </si>
  <si>
    <t>Filhos</t>
  </si>
  <si>
    <t>Empréstimo consignado para o Josias</t>
  </si>
  <si>
    <t>Dinheiro</t>
  </si>
  <si>
    <t>Pago</t>
  </si>
  <si>
    <t>Saúde</t>
  </si>
  <si>
    <t>Uniodonto Gutemberg</t>
  </si>
  <si>
    <t>Unimed Tereza</t>
  </si>
  <si>
    <t>Unimed Gutemberg</t>
  </si>
  <si>
    <t>Gutemberg</t>
  </si>
  <si>
    <t>Diversos no cartão Visa</t>
  </si>
  <si>
    <t>Ótica Bela Vista</t>
  </si>
  <si>
    <t>Outras</t>
  </si>
  <si>
    <t>Casa Dantas</t>
  </si>
  <si>
    <t>Crédito</t>
  </si>
  <si>
    <t>Telefonia</t>
  </si>
  <si>
    <t>Brisanet – Recarga de Celulares</t>
  </si>
  <si>
    <t>Lazer</t>
  </si>
  <si>
    <t>Amazon Music</t>
  </si>
  <si>
    <t>Amazon Prime</t>
  </si>
  <si>
    <t>Amazon – Compras</t>
  </si>
  <si>
    <t>Sítio</t>
  </si>
  <si>
    <t>Amaral Máquinas – Bomba Submersa, última</t>
  </si>
  <si>
    <t>Alimentação</t>
  </si>
  <si>
    <t>Água Mineral Apodi – 2 Garrafões no Bilu</t>
  </si>
  <si>
    <t>Débito</t>
  </si>
  <si>
    <t>Veículo</t>
  </si>
  <si>
    <t>Combustível</t>
  </si>
  <si>
    <t>Água</t>
  </si>
  <si>
    <t>Sisar – Água do Sítio</t>
  </si>
  <si>
    <t>Agendado</t>
  </si>
  <si>
    <t>Energia</t>
  </si>
  <si>
    <t>Energia Elétrica do Sítio</t>
  </si>
  <si>
    <t>Energia elétrica da casa do Planalto</t>
  </si>
  <si>
    <t>Mai</t>
  </si>
  <si>
    <t>Cagece – Água da casa do Planalto</t>
  </si>
  <si>
    <t>Banco</t>
  </si>
  <si>
    <t>Tarifas e Encargos do Banco do Brasil</t>
  </si>
  <si>
    <t>Pendente</t>
  </si>
  <si>
    <t>Imposto de Renda</t>
  </si>
  <si>
    <t>IR INSS</t>
  </si>
  <si>
    <t>C</t>
  </si>
  <si>
    <t>Benefício</t>
  </si>
  <si>
    <t>Benefício INSS</t>
  </si>
  <si>
    <t>Tereza</t>
  </si>
  <si>
    <t>Pensão</t>
  </si>
  <si>
    <t>Pensão Alimentícia</t>
  </si>
  <si>
    <t>Internet</t>
  </si>
  <si>
    <t>NetInfor – Internet do Sítio</t>
  </si>
  <si>
    <t>Telefone fixo na casa do Planalto</t>
  </si>
  <si>
    <t>Brisanet – Internet da casa do Planalto</t>
  </si>
  <si>
    <t>IR FAELCE</t>
  </si>
  <si>
    <t>Benefício FAELCE</t>
  </si>
  <si>
    <t>Gasolina para roçadeira</t>
  </si>
  <si>
    <t>Alcool</t>
  </si>
  <si>
    <t>Jun</t>
  </si>
  <si>
    <t>Licenciamento do Carro</t>
  </si>
  <si>
    <t>Jul</t>
  </si>
  <si>
    <t>Ago</t>
  </si>
  <si>
    <t>Set</t>
  </si>
  <si>
    <t>Licenciamento da Bis</t>
  </si>
  <si>
    <t>Out</t>
  </si>
  <si>
    <t>Nov</t>
  </si>
  <si>
    <t>Dez</t>
  </si>
  <si>
    <t>Categorias</t>
  </si>
  <si>
    <t>Pagamento</t>
  </si>
  <si>
    <t>Total Pagamentos Previsto para 2022</t>
  </si>
  <si>
    <t>Jan</t>
  </si>
  <si>
    <t>Recebido</t>
  </si>
  <si>
    <t>Fev</t>
  </si>
  <si>
    <t>Mar</t>
  </si>
  <si>
    <t>Outro</t>
  </si>
  <si>
    <t>Calçado</t>
  </si>
  <si>
    <t>Cursos</t>
  </si>
  <si>
    <t>Funerária</t>
  </si>
  <si>
    <t>Gaz</t>
  </si>
  <si>
    <t>Investimento</t>
  </si>
  <si>
    <t>Presentes</t>
  </si>
  <si>
    <t>Vestimenta</t>
  </si>
  <si>
    <t>Total</t>
  </si>
  <si>
    <t>aaaaaaaaaaaaaaaaaa</t>
  </si>
  <si>
    <t>bbbbbbbbbbb</t>
  </si>
  <si>
    <t>cccccc cccccc cccccc</t>
  </si>
  <si>
    <t>Rótulos de Linha</t>
  </si>
  <si>
    <t>Soma de Valor</t>
  </si>
  <si>
    <t>Total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</si>
</sst>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#,##0.00_ ;[Red]\-#,##0.00\ 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4" fontId="1" fillId="0" borderId="0" xfId="0" applyNumberFormat="1" applyFont="1"/>
    <xf numFmtId="0" fontId="5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0" xfId="0" applyFont="1" applyAlignment="1">
      <alignment vertical="center"/>
    </xf>
    <xf numFmtId="14" fontId="6" fillId="0" borderId="1" xfId="0" applyNumberFormat="1" applyFont="1" applyFill="1" applyBorder="1" applyAlignment="1">
      <alignment horizontal="center" vertical="center"/>
    </xf>
    <xf numFmtId="4" fontId="6" fillId="0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14" fontId="0" fillId="0" borderId="0" xfId="0" applyNumberFormat="1" applyFill="1"/>
    <xf numFmtId="0" fontId="0" fillId="0" borderId="0" xfId="0" applyFill="1" applyAlignment="1">
      <alignment horizontal="center"/>
    </xf>
    <xf numFmtId="4" fontId="0" fillId="0" borderId="0" xfId="0" applyNumberFormat="1" applyFill="1"/>
    <xf numFmtId="0" fontId="0" fillId="0" borderId="0" xfId="0" applyFill="1"/>
    <xf numFmtId="0" fontId="6" fillId="0" borderId="1" xfId="0" applyFont="1" applyFill="1" applyBorder="1" applyAlignment="1">
      <alignment horizontal="center"/>
    </xf>
    <xf numFmtId="4" fontId="6" fillId="0" borderId="1" xfId="0" applyNumberFormat="1" applyFont="1" applyFill="1" applyBorder="1"/>
    <xf numFmtId="0" fontId="6" fillId="0" borderId="1" xfId="0" applyFont="1" applyFill="1" applyBorder="1"/>
    <xf numFmtId="14" fontId="6" fillId="0" borderId="2" xfId="0" applyNumberFormat="1" applyFont="1" applyFill="1" applyBorder="1"/>
    <xf numFmtId="0" fontId="6" fillId="0" borderId="3" xfId="0" applyFont="1" applyFill="1" applyBorder="1"/>
    <xf numFmtId="14" fontId="3" fillId="0" borderId="4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4" fontId="3" fillId="0" borderId="5" xfId="0" applyNumberFormat="1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14" fontId="6" fillId="0" borderId="7" xfId="0" applyNumberFormat="1" applyFont="1" applyFill="1" applyBorder="1"/>
    <xf numFmtId="0" fontId="6" fillId="0" borderId="8" xfId="0" applyFont="1" applyFill="1" applyBorder="1" applyAlignment="1">
      <alignment horizontal="center"/>
    </xf>
    <xf numFmtId="4" fontId="6" fillId="0" borderId="8" xfId="0" applyNumberFormat="1" applyFont="1" applyFill="1" applyBorder="1"/>
    <xf numFmtId="0" fontId="6" fillId="0" borderId="8" xfId="0" applyFont="1" applyFill="1" applyBorder="1"/>
    <xf numFmtId="0" fontId="6" fillId="0" borderId="9" xfId="0" applyFont="1" applyFill="1" applyBorder="1"/>
    <xf numFmtId="0" fontId="0" fillId="2" borderId="0" xfId="0" applyFill="1"/>
    <xf numFmtId="166" fontId="0" fillId="0" borderId="0" xfId="0" applyNumberFormat="1"/>
    <xf numFmtId="2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" fontId="3" fillId="0" borderId="5" xfId="0" applyNumberFormat="1" applyFont="1" applyFill="1" applyBorder="1" applyAlignment="1">
      <alignment horizontal="center" vertical="center"/>
    </xf>
    <xf numFmtId="1" fontId="6" fillId="0" borderId="1" xfId="0" applyNumberFormat="1" applyFont="1" applyFill="1" applyBorder="1" applyAlignment="1">
      <alignment horizontal="center"/>
    </xf>
    <xf numFmtId="1" fontId="6" fillId="0" borderId="8" xfId="0" applyNumberFormat="1" applyFont="1" applyFill="1" applyBorder="1" applyAlignment="1">
      <alignment horizontal="center"/>
    </xf>
    <xf numFmtId="1" fontId="0" fillId="0" borderId="0" xfId="0" applyNumberFormat="1" applyFill="1" applyAlignment="1">
      <alignment horizontal="center"/>
    </xf>
  </cellXfs>
  <cellStyles count="1">
    <cellStyle name="Normal" xfId="0" builtinId="0"/>
  </cellStyles>
  <dxfs count="95"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12</xdr:row>
          <xdr:rowOff>9525</xdr:rowOff>
        </xdr:from>
        <xdr:to>
          <xdr:col>7</xdr:col>
          <xdr:colOff>1152525</xdr:colOff>
          <xdr:row>14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523875</xdr:colOff>
      <xdr:row>25</xdr:row>
      <xdr:rowOff>19050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BA97AD79-1B9B-45CC-942E-B1276C4761EA}"/>
            </a:ext>
          </a:extLst>
        </xdr:cNvPr>
        <xdr:cNvSpPr/>
      </xdr:nvSpPr>
      <xdr:spPr>
        <a:xfrm>
          <a:off x="0" y="0"/>
          <a:ext cx="12715875" cy="47815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0</xdr:col>
      <xdr:colOff>0</xdr:colOff>
      <xdr:row>0</xdr:row>
      <xdr:rowOff>0</xdr:rowOff>
    </xdr:from>
    <xdr:ext cx="1683443" cy="937629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33E51B86-FA59-4779-8D50-C9847B58C36A}"/>
            </a:ext>
          </a:extLst>
        </xdr:cNvPr>
        <xdr:cNvSpPr/>
      </xdr:nvSpPr>
      <xdr:spPr>
        <a:xfrm>
          <a:off x="0" y="0"/>
          <a:ext cx="1683443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2022</a:t>
          </a:r>
        </a:p>
      </xdr:txBody>
    </xdr:sp>
    <xdr:clientData/>
  </xdr:oneCellAnchor>
  <xdr:twoCellAnchor>
    <xdr:from>
      <xdr:col>5</xdr:col>
      <xdr:colOff>457200</xdr:colOff>
      <xdr:row>0</xdr:row>
      <xdr:rowOff>76200</xdr:rowOff>
    </xdr:from>
    <xdr:to>
      <xdr:col>8</xdr:col>
      <xdr:colOff>247650</xdr:colOff>
      <xdr:row>2</xdr:row>
      <xdr:rowOff>9525</xdr:rowOff>
    </xdr:to>
    <xdr:sp macro="" textlink="Apoio!M2">
      <xdr:nvSpPr>
        <xdr:cNvPr id="5" name="CaixaDeTexto 4">
          <a:extLst>
            <a:ext uri="{FF2B5EF4-FFF2-40B4-BE49-F238E27FC236}">
              <a16:creationId xmlns:a16="http://schemas.microsoft.com/office/drawing/2014/main" id="{0733DC8E-4E0C-4E9E-B7E4-2EA79511A323}"/>
            </a:ext>
          </a:extLst>
        </xdr:cNvPr>
        <xdr:cNvSpPr txBox="1"/>
      </xdr:nvSpPr>
      <xdr:spPr>
        <a:xfrm>
          <a:off x="3505200" y="76200"/>
          <a:ext cx="161925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E2A631A-512D-4474-8B25-6C86500C4737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t>81.256,28 </a:t>
          </a:fld>
          <a:endParaRPr lang="pt-BR" sz="1600" b="1"/>
        </a:p>
      </xdr:txBody>
    </xdr:sp>
    <xdr:clientData/>
  </xdr:twoCellAnchor>
  <xdr:twoCellAnchor>
    <xdr:from>
      <xdr:col>13</xdr:col>
      <xdr:colOff>276225</xdr:colOff>
      <xdr:row>0</xdr:row>
      <xdr:rowOff>104775</xdr:rowOff>
    </xdr:from>
    <xdr:to>
      <xdr:col>16</xdr:col>
      <xdr:colOff>66675</xdr:colOff>
      <xdr:row>2</xdr:row>
      <xdr:rowOff>38100</xdr:rowOff>
    </xdr:to>
    <xdr:sp macro="" textlink="Apoio!M27">
      <xdr:nvSpPr>
        <xdr:cNvPr id="6" name="CaixaDeTexto 5">
          <a:extLst>
            <a:ext uri="{FF2B5EF4-FFF2-40B4-BE49-F238E27FC236}">
              <a16:creationId xmlns:a16="http://schemas.microsoft.com/office/drawing/2014/main" id="{932EB613-3181-406B-A9FE-D8F1D1B7C3B8}"/>
            </a:ext>
          </a:extLst>
        </xdr:cNvPr>
        <xdr:cNvSpPr txBox="1"/>
      </xdr:nvSpPr>
      <xdr:spPr>
        <a:xfrm>
          <a:off x="8201025" y="104775"/>
          <a:ext cx="161925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8290C92-D570-4511-86AF-33635329C472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t>43.172,13 </a:t>
          </a:fld>
          <a:endParaRPr lang="pt-BR" sz="1600" b="1"/>
        </a:p>
      </xdr:txBody>
    </xdr:sp>
    <xdr:clientData/>
  </xdr:twoCellAnchor>
  <xdr:twoCellAnchor>
    <xdr:from>
      <xdr:col>17</xdr:col>
      <xdr:colOff>504825</xdr:colOff>
      <xdr:row>0</xdr:row>
      <xdr:rowOff>133350</xdr:rowOff>
    </xdr:from>
    <xdr:to>
      <xdr:col>20</xdr:col>
      <xdr:colOff>295275</xdr:colOff>
      <xdr:row>2</xdr:row>
      <xdr:rowOff>66675</xdr:rowOff>
    </xdr:to>
    <xdr:sp macro="" textlink="Apoio!M30">
      <xdr:nvSpPr>
        <xdr:cNvPr id="7" name="CaixaDeTexto 6">
          <a:extLst>
            <a:ext uri="{FF2B5EF4-FFF2-40B4-BE49-F238E27FC236}">
              <a16:creationId xmlns:a16="http://schemas.microsoft.com/office/drawing/2014/main" id="{21B7B3AE-4053-4B33-A42D-48DF9FE4C986}"/>
            </a:ext>
          </a:extLst>
        </xdr:cNvPr>
        <xdr:cNvSpPr txBox="1"/>
      </xdr:nvSpPr>
      <xdr:spPr>
        <a:xfrm>
          <a:off x="10868025" y="133350"/>
          <a:ext cx="161925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480F0B3-1631-47C6-AB50-C58C3CA6B10A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t>38.084,15 </a:t>
          </a:fld>
          <a:endParaRPr lang="en-US" sz="24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temberg" refreshedDate="44673.866340624998" createdVersion="7" refreshedVersion="7" minRefreshableVersion="3" recordCount="195" xr:uid="{D2AB266A-D576-45B3-A231-4E20005558B2}">
  <cacheSource type="worksheet">
    <worksheetSource name="Dados"/>
  </cacheSource>
  <cacheFields count="9">
    <cacheField name="Data" numFmtId="22">
      <sharedItems containsSemiMixedTypes="0" containsNonDate="0" containsDate="1" containsString="0" minDate="2020-01-01T00:00:00" maxDate="2022-12-26T00:00:00"/>
    </cacheField>
    <cacheField name="Mês" numFmtId="0">
      <sharedItems count="11">
        <s v="Jan"/>
        <s v="Fev"/>
        <s v="Abr"/>
        <s v="Mai"/>
        <s v="Jun"/>
        <s v="Jul"/>
        <s v="Ago"/>
        <s v="Set"/>
        <s v="Out"/>
        <s v="Nov"/>
        <s v="Dez"/>
      </sharedItems>
    </cacheField>
    <cacheField name="Ano" numFmtId="0">
      <sharedItems count="11">
        <s v="Jan"/>
        <s v="Fev"/>
        <s v="Abr"/>
        <s v="Mai"/>
        <s v="Jun"/>
        <s v="Jul"/>
        <s v="Ago"/>
        <s v="Set"/>
        <s v="Out"/>
        <s v="Nov"/>
        <s v="Dez"/>
      </sharedItems>
    </cacheField>
    <cacheField name="Valor" numFmtId="0">
      <sharedItems containsSemiMixedTypes="0" containsString="0" containsNumber="1" minValue="6.9" maxValue="11111"/>
    </cacheField>
    <cacheField name="Tipo" numFmtId="0">
      <sharedItems/>
    </cacheField>
    <cacheField name="Categoria" numFmtId="0">
      <sharedItems count="18">
        <s v="Benefício"/>
        <s v="Sítio"/>
        <s v="Vestimenta"/>
        <s v="Filhos"/>
        <s v="Saúde"/>
        <s v="Gutemberg"/>
        <s v="Outras"/>
        <s v="Telefonia"/>
        <s v="Lazer"/>
        <s v="Alimentação"/>
        <s v="Veículo"/>
        <s v="Água"/>
        <s v="Energia"/>
        <s v="Banco"/>
        <s v="Imposto de Renda"/>
        <s v="Tereza"/>
        <s v="Pensão"/>
        <s v="Internet"/>
      </sharedItems>
    </cacheField>
    <cacheField name="Descrição" numFmtId="0">
      <sharedItems/>
    </cacheField>
    <cacheField name="Forma de Pagamento" numFmtId="0">
      <sharedItems/>
    </cacheField>
    <cacheField name="Status" numFmtId="0">
      <sharedItems/>
    </cacheField>
  </cacheFields>
  <extLst>
    <ext xmlns:x14="http://schemas.microsoft.com/office/spreadsheetml/2009/9/main" uri="{725AE2AE-9491-48be-B2B4-4EB974FC3084}">
      <x14:pivotCacheDefinition pivotCacheId="707760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">
  <r>
    <d v="2020-01-01T00:00:00"/>
    <x v="0"/>
    <x v="0"/>
    <n v="11111"/>
    <s v="C"/>
    <x v="0"/>
    <s v="aaaaaaaaaaaaaaaaaa"/>
    <s v="Dinheiro"/>
    <s v="Recebido"/>
  </r>
  <r>
    <d v="2020-01-15T00:00:00"/>
    <x v="0"/>
    <x v="0"/>
    <n v="321"/>
    <s v="D"/>
    <x v="1"/>
    <s v="cccccc cccccc cccccc"/>
    <s v="Crédito"/>
    <s v="Agendado"/>
  </r>
  <r>
    <d v="2020-02-01T00:00:00"/>
    <x v="1"/>
    <x v="1"/>
    <n v="222"/>
    <s v="D"/>
    <x v="2"/>
    <s v="bbbbbbbbbbb"/>
    <s v="Débito"/>
    <s v="Pendente"/>
  </r>
  <r>
    <d v="2022-04-05T00:00:00"/>
    <x v="2"/>
    <x v="2"/>
    <n v="320"/>
    <s v="D"/>
    <x v="3"/>
    <s v="Empréstimo consignado para o Josias"/>
    <s v="Dinheiro"/>
    <s v="Pago"/>
  </r>
  <r>
    <d v="2022-04-10T00:00:00"/>
    <x v="2"/>
    <x v="2"/>
    <n v="25.83"/>
    <s v="D"/>
    <x v="4"/>
    <s v="Uniodonto Gutemberg"/>
    <s v="Dinheiro"/>
    <s v="Pago"/>
  </r>
  <r>
    <d v="2022-04-10T00:00:00"/>
    <x v="2"/>
    <x v="2"/>
    <n v="520.24"/>
    <s v="D"/>
    <x v="4"/>
    <s v="Unimed Tereza"/>
    <s v="Dinheiro"/>
    <s v="Pago"/>
  </r>
  <r>
    <d v="2022-04-10T00:00:00"/>
    <x v="2"/>
    <x v="2"/>
    <n v="650.49"/>
    <s v="D"/>
    <x v="4"/>
    <s v="Unimed Gutemberg"/>
    <s v="Dinheiro"/>
    <s v="Pago"/>
  </r>
  <r>
    <d v="2022-04-20T00:00:00"/>
    <x v="2"/>
    <x v="2"/>
    <n v="98.58"/>
    <s v="D"/>
    <x v="5"/>
    <s v="Diversos no cartão Visa"/>
    <s v="Dinheiro"/>
    <s v="Pago"/>
  </r>
  <r>
    <d v="2022-04-20T00:00:00"/>
    <x v="2"/>
    <x v="2"/>
    <n v="206"/>
    <s v="D"/>
    <x v="4"/>
    <s v="Ótica Bela Vista"/>
    <s v="Dinheiro"/>
    <s v="Pago"/>
  </r>
  <r>
    <d v="2022-04-21T00:00:00"/>
    <x v="2"/>
    <x v="2"/>
    <n v="48.21"/>
    <s v="D"/>
    <x v="6"/>
    <s v="Casa Dantas"/>
    <s v="Crédito"/>
    <s v="Pago"/>
  </r>
  <r>
    <d v="2022-04-21T00:00:00"/>
    <x v="2"/>
    <x v="2"/>
    <n v="47"/>
    <s v="D"/>
    <x v="7"/>
    <s v="Brisanet – Recarga de Celulares"/>
    <s v="Crédito"/>
    <s v="Pago"/>
  </r>
  <r>
    <d v="2022-04-21T00:00:00"/>
    <x v="2"/>
    <x v="2"/>
    <n v="6.9"/>
    <s v="D"/>
    <x v="8"/>
    <s v="Amazon Music"/>
    <s v="Crédito"/>
    <s v="Pago"/>
  </r>
  <r>
    <d v="2022-04-21T00:00:00"/>
    <x v="2"/>
    <x v="2"/>
    <n v="9.9"/>
    <s v="D"/>
    <x v="8"/>
    <s v="Amazon Prime"/>
    <s v="Crédito"/>
    <s v="Pago"/>
  </r>
  <r>
    <d v="2022-04-21T00:00:00"/>
    <x v="2"/>
    <x v="2"/>
    <n v="55.1"/>
    <s v="D"/>
    <x v="5"/>
    <s v="Amazon – Compras"/>
    <s v="Crédito"/>
    <s v="Pago"/>
  </r>
  <r>
    <d v="2022-04-21T00:00:00"/>
    <x v="2"/>
    <x v="2"/>
    <n v="172.75"/>
    <s v="D"/>
    <x v="1"/>
    <s v="Amaral Máquinas – Bomba Submersa, última"/>
    <s v="Crédito"/>
    <s v="Pago"/>
  </r>
  <r>
    <d v="2022-04-22T00:00:00"/>
    <x v="2"/>
    <x v="2"/>
    <n v="12"/>
    <s v="D"/>
    <x v="9"/>
    <s v="Água Mineral Apodi – 2 Garrafões no Bilu"/>
    <s v="Débito"/>
    <s v="Pago"/>
  </r>
  <r>
    <d v="2022-04-23T00:00:00"/>
    <x v="2"/>
    <x v="2"/>
    <n v="100"/>
    <s v="D"/>
    <x v="10"/>
    <s v="Combustível"/>
    <s v="Débito"/>
    <s v="Pago"/>
  </r>
  <r>
    <d v="2022-04-25T00:00:00"/>
    <x v="2"/>
    <x v="2"/>
    <n v="30.24"/>
    <s v="D"/>
    <x v="11"/>
    <s v="Sisar – Água do Sítio"/>
    <s v="Dinheiro"/>
    <s v="Agendado"/>
  </r>
  <r>
    <d v="2022-04-25T00:00:00"/>
    <x v="2"/>
    <x v="2"/>
    <n v="206.52"/>
    <s v="D"/>
    <x v="12"/>
    <s v="Energia Elétrica do Sítio"/>
    <s v="Dinheiro"/>
    <s v="Agendado"/>
  </r>
  <r>
    <d v="2022-04-25T00:00:00"/>
    <x v="2"/>
    <x v="2"/>
    <n v="95.14"/>
    <s v="D"/>
    <x v="12"/>
    <s v="Energia elétrica da casa do Planalto"/>
    <s v="Dinheiro"/>
    <s v="Agendado"/>
  </r>
  <r>
    <d v="2022-05-02T00:00:00"/>
    <x v="3"/>
    <x v="3"/>
    <n v="775.73"/>
    <s v="D"/>
    <x v="11"/>
    <s v="Cagece – Água da casa do Planalto"/>
    <s v="Dinheiro"/>
    <s v="Agendado"/>
  </r>
  <r>
    <d v="2022-05-05T00:00:00"/>
    <x v="3"/>
    <x v="3"/>
    <n v="7.97"/>
    <s v="D"/>
    <x v="13"/>
    <s v="Tarifas e Encargos do Banco do Brasil"/>
    <s v="Dinheiro"/>
    <s v="Pendente"/>
  </r>
  <r>
    <d v="2022-05-05T00:00:00"/>
    <x v="3"/>
    <x v="3"/>
    <n v="294.10000000000002"/>
    <s v="D"/>
    <x v="14"/>
    <s v="IR INSS"/>
    <s v="Dinheiro"/>
    <s v="Pendente"/>
  </r>
  <r>
    <d v="2022-05-05T00:00:00"/>
    <x v="3"/>
    <x v="3"/>
    <n v="4134.37"/>
    <s v="C"/>
    <x v="0"/>
    <s v="Benefício INSS"/>
    <s v="Dinheiro"/>
    <s v="Pendente"/>
  </r>
  <r>
    <d v="2022-05-05T00:00:00"/>
    <x v="3"/>
    <x v="3"/>
    <n v="350"/>
    <s v="D"/>
    <x v="15"/>
    <s v="Tereza"/>
    <s v="Dinheiro"/>
    <s v="Pendente"/>
  </r>
  <r>
    <d v="2022-05-05T00:00:00"/>
    <x v="3"/>
    <x v="3"/>
    <n v="1447.03"/>
    <s v="D"/>
    <x v="16"/>
    <s v="Pensão Alimentícia"/>
    <s v="Dinheiro"/>
    <s v="Agendado"/>
  </r>
  <r>
    <d v="2022-05-05T00:00:00"/>
    <x v="3"/>
    <x v="3"/>
    <n v="320"/>
    <s v="D"/>
    <x v="3"/>
    <s v="Empréstimo consignado para o Josias"/>
    <s v="Dinheiro"/>
    <s v="Pendente"/>
  </r>
  <r>
    <d v="2022-05-10T00:00:00"/>
    <x v="3"/>
    <x v="3"/>
    <n v="69.900000000000006"/>
    <s v="D"/>
    <x v="17"/>
    <s v="NetInfor – Internet do Sítio"/>
    <s v="Dinheiro"/>
    <s v="Pendente"/>
  </r>
  <r>
    <d v="2022-05-10T00:00:00"/>
    <x v="3"/>
    <x v="3"/>
    <n v="650.49"/>
    <s v="D"/>
    <x v="4"/>
    <s v="Unimed Gutemberg"/>
    <s v="Dinheiro"/>
    <s v="Pendente"/>
  </r>
  <r>
    <d v="2022-05-10T00:00:00"/>
    <x v="3"/>
    <x v="3"/>
    <n v="520.24"/>
    <s v="D"/>
    <x v="4"/>
    <s v="Unimed Tereza"/>
    <s v="Dinheiro"/>
    <s v="Pendente"/>
  </r>
  <r>
    <d v="2022-05-10T00:00:00"/>
    <x v="3"/>
    <x v="3"/>
    <n v="25.83"/>
    <s v="D"/>
    <x v="4"/>
    <s v="Uniodonto Gutemberg"/>
    <s v="Dinheiro"/>
    <s v="Pendente"/>
  </r>
  <r>
    <d v="2022-05-15T00:00:00"/>
    <x v="3"/>
    <x v="3"/>
    <n v="14.9"/>
    <s v="D"/>
    <x v="7"/>
    <s v="Telefone fixo na casa do Planalto"/>
    <s v="Dinheiro"/>
    <s v="Pendente"/>
  </r>
  <r>
    <d v="2022-05-15T00:00:00"/>
    <x v="3"/>
    <x v="3"/>
    <n v="99"/>
    <s v="D"/>
    <x v="17"/>
    <s v="Brisanet – Internet da casa do Planalto"/>
    <s v="Dinheiro"/>
    <s v="Pendente"/>
  </r>
  <r>
    <d v="2022-05-20T00:00:00"/>
    <x v="3"/>
    <x v="3"/>
    <n v="363.82"/>
    <s v="D"/>
    <x v="14"/>
    <s v="IR FAELCE"/>
    <s v="Dinheiro"/>
    <s v="Pendente"/>
  </r>
  <r>
    <d v="2022-05-20T00:00:00"/>
    <x v="3"/>
    <x v="3"/>
    <n v="4633.79"/>
    <s v="C"/>
    <x v="0"/>
    <s v="Benefício FAELCE"/>
    <s v="Dinheiro"/>
    <s v="Pendente"/>
  </r>
  <r>
    <d v="2022-05-21T00:00:00"/>
    <x v="3"/>
    <x v="3"/>
    <n v="95.14"/>
    <s v="D"/>
    <x v="12"/>
    <s v="Energia elétrica da casa do Planalto"/>
    <s v="Dinheiro"/>
    <s v="Pendente"/>
  </r>
  <r>
    <d v="2022-05-21T00:00:00"/>
    <x v="3"/>
    <x v="3"/>
    <n v="206.52"/>
    <s v="D"/>
    <x v="12"/>
    <s v="Energia Elétrica do Sítio"/>
    <s v="Dinheiro"/>
    <s v="Pendente"/>
  </r>
  <r>
    <d v="2022-05-23T00:00:00"/>
    <x v="3"/>
    <x v="3"/>
    <n v="40"/>
    <s v="D"/>
    <x v="1"/>
    <s v="Gasolina para roçadeira"/>
    <s v="Crédito"/>
    <s v="Agendado"/>
  </r>
  <r>
    <d v="2022-05-23T00:00:00"/>
    <x v="3"/>
    <x v="3"/>
    <n v="110"/>
    <s v="D"/>
    <x v="10"/>
    <s v="Alcool"/>
    <s v="Crédito"/>
    <s v="Agendado"/>
  </r>
  <r>
    <d v="2022-05-23T00:00:00"/>
    <x v="3"/>
    <x v="3"/>
    <n v="30.22"/>
    <s v="D"/>
    <x v="5"/>
    <s v="Amazon – Compras"/>
    <s v="Crédito"/>
    <s v="Agendado"/>
  </r>
  <r>
    <d v="2022-05-23T00:00:00"/>
    <x v="3"/>
    <x v="3"/>
    <n v="100"/>
    <s v="D"/>
    <x v="10"/>
    <s v="Combustível"/>
    <s v="Débito"/>
    <s v="Pendente"/>
  </r>
  <r>
    <d v="2022-05-23T00:00:00"/>
    <x v="3"/>
    <x v="3"/>
    <n v="9.9"/>
    <s v="D"/>
    <x v="8"/>
    <s v="Amazon Prime"/>
    <s v="Crédito"/>
    <s v="Agendado"/>
  </r>
  <r>
    <d v="2022-05-23T00:00:00"/>
    <x v="3"/>
    <x v="3"/>
    <n v="8.9"/>
    <s v="D"/>
    <x v="8"/>
    <s v="Amazon Music"/>
    <s v="Crédito"/>
    <s v="Agendado"/>
  </r>
  <r>
    <d v="2022-05-23T00:00:00"/>
    <x v="3"/>
    <x v="3"/>
    <n v="48.22"/>
    <s v="D"/>
    <x v="6"/>
    <s v="Casa Dantas"/>
    <s v="Crédito"/>
    <s v="Agendado"/>
  </r>
  <r>
    <d v="2022-05-25T00:00:00"/>
    <x v="3"/>
    <x v="3"/>
    <n v="30.24"/>
    <s v="D"/>
    <x v="11"/>
    <s v="Sisar – Água do Sítio"/>
    <s v="Dinheiro"/>
    <s v="Pendente"/>
  </r>
  <r>
    <d v="2022-06-02T00:00:00"/>
    <x v="4"/>
    <x v="4"/>
    <n v="80"/>
    <s v="D"/>
    <x v="11"/>
    <s v="Cagece – Água da casa do Planalto"/>
    <s v="Dinheiro"/>
    <s v="Pendente"/>
  </r>
  <r>
    <d v="2022-06-05T00:00:00"/>
    <x v="4"/>
    <x v="4"/>
    <n v="1000"/>
    <s v="D"/>
    <x v="10"/>
    <s v="Licenciamento do Carro"/>
    <s v="Dinheiro"/>
    <s v="Pendente"/>
  </r>
  <r>
    <d v="2022-06-05T00:00:00"/>
    <x v="4"/>
    <x v="4"/>
    <n v="1447.03"/>
    <s v="D"/>
    <x v="16"/>
    <s v="Pensão Alimentícia"/>
    <s v="Dinheiro"/>
    <s v="Agendado"/>
  </r>
  <r>
    <d v="2022-06-05T00:00:00"/>
    <x v="4"/>
    <x v="4"/>
    <n v="350"/>
    <s v="D"/>
    <x v="15"/>
    <s v="Tereza"/>
    <s v="Dinheiro"/>
    <s v="Pendente"/>
  </r>
  <r>
    <d v="2022-06-05T00:00:00"/>
    <x v="4"/>
    <x v="4"/>
    <n v="4134.37"/>
    <s v="C"/>
    <x v="0"/>
    <s v="Benefício INSS"/>
    <s v="Dinheiro"/>
    <s v="Pendente"/>
  </r>
  <r>
    <d v="2022-06-05T00:00:00"/>
    <x v="4"/>
    <x v="4"/>
    <n v="294.10000000000002"/>
    <s v="D"/>
    <x v="14"/>
    <s v="IR INSS"/>
    <s v="Dinheiro"/>
    <s v="Pendente"/>
  </r>
  <r>
    <d v="2022-06-05T00:00:00"/>
    <x v="4"/>
    <x v="4"/>
    <n v="7.97"/>
    <s v="D"/>
    <x v="13"/>
    <s v="Tarifas e Encargos do Banco do Brasil"/>
    <s v="Dinheiro"/>
    <s v="Pendente"/>
  </r>
  <r>
    <d v="2022-06-05T00:00:00"/>
    <x v="4"/>
    <x v="4"/>
    <n v="320"/>
    <s v="D"/>
    <x v="3"/>
    <s v="Empréstimo consignado para o Josias"/>
    <s v="Dinheiro"/>
    <s v="Pendente"/>
  </r>
  <r>
    <d v="2022-06-10T00:00:00"/>
    <x v="4"/>
    <x v="4"/>
    <n v="69.900000000000006"/>
    <s v="D"/>
    <x v="17"/>
    <s v="NetInfor – Internet do Sítio"/>
    <s v="Dinheiro"/>
    <s v="Pendente"/>
  </r>
  <r>
    <d v="2022-06-10T00:00:00"/>
    <x v="4"/>
    <x v="4"/>
    <n v="650.49"/>
    <s v="D"/>
    <x v="4"/>
    <s v="Unimed Gutemberg"/>
    <s v="Dinheiro"/>
    <s v="Pendente"/>
  </r>
  <r>
    <d v="2022-06-10T00:00:00"/>
    <x v="4"/>
    <x v="4"/>
    <n v="520.24"/>
    <s v="D"/>
    <x v="4"/>
    <s v="Unimed Tereza"/>
    <s v="Dinheiro"/>
    <s v="Pendente"/>
  </r>
  <r>
    <d v="2022-06-10T00:00:00"/>
    <x v="4"/>
    <x v="4"/>
    <n v="25.83"/>
    <s v="D"/>
    <x v="4"/>
    <s v="Uniodonto Gutemberg"/>
    <s v="Dinheiro"/>
    <s v="Pendente"/>
  </r>
  <r>
    <d v="2022-06-15T00:00:00"/>
    <x v="4"/>
    <x v="4"/>
    <n v="99"/>
    <s v="D"/>
    <x v="17"/>
    <s v="Brisanet – Internet da casa do Planalto"/>
    <s v="Dinheiro"/>
    <s v="Pendente"/>
  </r>
  <r>
    <d v="2022-06-15T00:00:00"/>
    <x v="4"/>
    <x v="4"/>
    <n v="14.9"/>
    <s v="D"/>
    <x v="7"/>
    <s v="Telefone fixo na casa do Planalto"/>
    <s v="Dinheiro"/>
    <s v="Pendente"/>
  </r>
  <r>
    <d v="2022-06-20T00:00:00"/>
    <x v="4"/>
    <x v="4"/>
    <n v="4633.79"/>
    <s v="C"/>
    <x v="0"/>
    <s v="Benefício FAELCE"/>
    <s v="Dinheiro"/>
    <s v="Pendente"/>
  </r>
  <r>
    <d v="2022-06-20T00:00:00"/>
    <x v="4"/>
    <x v="4"/>
    <n v="363.82"/>
    <s v="D"/>
    <x v="14"/>
    <s v="IR FAELCE"/>
    <s v="Dinheiro"/>
    <s v="Pendente"/>
  </r>
  <r>
    <d v="2022-06-21T00:00:00"/>
    <x v="4"/>
    <x v="4"/>
    <n v="95.14"/>
    <s v="D"/>
    <x v="12"/>
    <s v="Energia elétrica da casa do Planalto"/>
    <s v="Dinheiro"/>
    <s v="Pendente"/>
  </r>
  <r>
    <d v="2022-06-21T00:00:00"/>
    <x v="4"/>
    <x v="4"/>
    <n v="206.52"/>
    <s v="D"/>
    <x v="12"/>
    <s v="Energia Elétrica do Sítio"/>
    <s v="Dinheiro"/>
    <s v="Pendente"/>
  </r>
  <r>
    <d v="2022-06-23T00:00:00"/>
    <x v="4"/>
    <x v="4"/>
    <n v="48.22"/>
    <s v="D"/>
    <x v="6"/>
    <s v="Casa Dantas"/>
    <s v="Crédito"/>
    <s v="Agendado"/>
  </r>
  <r>
    <d v="2022-06-23T00:00:00"/>
    <x v="4"/>
    <x v="4"/>
    <n v="100"/>
    <s v="D"/>
    <x v="10"/>
    <s v="Combustível"/>
    <s v="Débito"/>
    <s v="Pendente"/>
  </r>
  <r>
    <d v="2022-06-23T00:00:00"/>
    <x v="4"/>
    <x v="4"/>
    <n v="9.9"/>
    <s v="D"/>
    <x v="8"/>
    <s v="Amazon Prime"/>
    <s v="Crédito"/>
    <s v="Agendado"/>
  </r>
  <r>
    <d v="2022-06-23T00:00:00"/>
    <x v="4"/>
    <x v="4"/>
    <n v="8.9"/>
    <s v="D"/>
    <x v="8"/>
    <s v="Amazon Music"/>
    <s v="Crédito"/>
    <s v="Agendado"/>
  </r>
  <r>
    <d v="2022-06-25T00:00:00"/>
    <x v="4"/>
    <x v="4"/>
    <n v="30.24"/>
    <s v="D"/>
    <x v="11"/>
    <s v="Sisar – Água do Sítio"/>
    <s v="Dinheiro"/>
    <s v="Pendente"/>
  </r>
  <r>
    <d v="2022-07-05T00:00:00"/>
    <x v="5"/>
    <x v="5"/>
    <n v="1447.03"/>
    <s v="D"/>
    <x v="16"/>
    <s v="Pensão Alimentícia"/>
    <s v="Dinheiro"/>
    <s v="Agendado"/>
  </r>
  <r>
    <d v="2022-07-05T00:00:00"/>
    <x v="5"/>
    <x v="5"/>
    <n v="350"/>
    <s v="D"/>
    <x v="15"/>
    <s v="Tereza"/>
    <s v="Dinheiro"/>
    <s v="Pendente"/>
  </r>
  <r>
    <d v="2022-07-05T00:00:00"/>
    <x v="5"/>
    <x v="5"/>
    <n v="4134.37"/>
    <s v="C"/>
    <x v="0"/>
    <s v="Benefício INSS"/>
    <s v="Dinheiro"/>
    <s v="Pendente"/>
  </r>
  <r>
    <d v="2022-07-05T00:00:00"/>
    <x v="5"/>
    <x v="5"/>
    <n v="294.10000000000002"/>
    <s v="D"/>
    <x v="14"/>
    <s v="IR INSS"/>
    <s v="Dinheiro"/>
    <s v="Pendente"/>
  </r>
  <r>
    <d v="2022-07-05T00:00:00"/>
    <x v="5"/>
    <x v="5"/>
    <n v="7.97"/>
    <s v="D"/>
    <x v="13"/>
    <s v="Tarifas e Encargos do Banco do Brasil"/>
    <s v="Dinheiro"/>
    <s v="Pendente"/>
  </r>
  <r>
    <d v="2022-07-05T00:00:00"/>
    <x v="5"/>
    <x v="5"/>
    <n v="320"/>
    <s v="D"/>
    <x v="3"/>
    <s v="Empréstimo consignado para o Josias"/>
    <s v="Dinheiro"/>
    <s v="Pendente"/>
  </r>
  <r>
    <d v="2022-07-10T00:00:00"/>
    <x v="5"/>
    <x v="5"/>
    <n v="69.900000000000006"/>
    <s v="D"/>
    <x v="17"/>
    <s v="NetInfor – Internet do Sítio"/>
    <s v="Dinheiro"/>
    <s v="Pendente"/>
  </r>
  <r>
    <d v="2022-07-10T00:00:00"/>
    <x v="5"/>
    <x v="5"/>
    <n v="650.49"/>
    <s v="D"/>
    <x v="4"/>
    <s v="Unimed Gutemberg"/>
    <s v="Dinheiro"/>
    <s v="Pendente"/>
  </r>
  <r>
    <d v="2022-07-10T00:00:00"/>
    <x v="5"/>
    <x v="5"/>
    <n v="520.24"/>
    <s v="D"/>
    <x v="4"/>
    <s v="Unimed Tereza"/>
    <s v="Dinheiro"/>
    <s v="Pendente"/>
  </r>
  <r>
    <d v="2022-07-10T00:00:00"/>
    <x v="5"/>
    <x v="5"/>
    <n v="25.83"/>
    <s v="D"/>
    <x v="4"/>
    <s v="Uniodonto Gutemberg"/>
    <s v="Dinheiro"/>
    <s v="Pendente"/>
  </r>
  <r>
    <d v="2022-07-15T00:00:00"/>
    <x v="5"/>
    <x v="5"/>
    <n v="99"/>
    <s v="D"/>
    <x v="17"/>
    <s v="Brisanet – Internet da casa do Planalto"/>
    <s v="Dinheiro"/>
    <s v="Pendente"/>
  </r>
  <r>
    <d v="2022-07-15T00:00:00"/>
    <x v="5"/>
    <x v="5"/>
    <n v="14.9"/>
    <s v="D"/>
    <x v="7"/>
    <s v="Telefone fixo na casa do Planalto"/>
    <s v="Dinheiro"/>
    <s v="Pendente"/>
  </r>
  <r>
    <d v="2022-07-20T00:00:00"/>
    <x v="5"/>
    <x v="5"/>
    <n v="4633.79"/>
    <s v="C"/>
    <x v="0"/>
    <s v="Benefício FAELCE"/>
    <s v="Dinheiro"/>
    <s v="Pendente"/>
  </r>
  <r>
    <d v="2022-07-20T00:00:00"/>
    <x v="5"/>
    <x v="5"/>
    <n v="363.82"/>
    <s v="D"/>
    <x v="14"/>
    <s v="IR FAELCE"/>
    <s v="Dinheiro"/>
    <s v="Pendente"/>
  </r>
  <r>
    <d v="2022-07-21T00:00:00"/>
    <x v="5"/>
    <x v="5"/>
    <n v="95.14"/>
    <s v="D"/>
    <x v="12"/>
    <s v="Energia elétrica da casa do Planalto"/>
    <s v="Dinheiro"/>
    <s v="Pendente"/>
  </r>
  <r>
    <d v="2022-07-21T00:00:00"/>
    <x v="5"/>
    <x v="5"/>
    <n v="206.52"/>
    <s v="D"/>
    <x v="12"/>
    <s v="Energia Elétrica do Sítio"/>
    <s v="Dinheiro"/>
    <s v="Pendente"/>
  </r>
  <r>
    <d v="2022-07-22T00:00:00"/>
    <x v="5"/>
    <x v="5"/>
    <n v="80"/>
    <s v="D"/>
    <x v="11"/>
    <s v="Cagece – Água da casa do Planalto"/>
    <s v="Dinheiro"/>
    <s v="Pendente"/>
  </r>
  <r>
    <d v="2022-07-23T00:00:00"/>
    <x v="5"/>
    <x v="5"/>
    <n v="100"/>
    <s v="D"/>
    <x v="10"/>
    <s v="Combustível"/>
    <s v="Débito"/>
    <s v="Pendente"/>
  </r>
  <r>
    <d v="2022-07-23T00:00:00"/>
    <x v="5"/>
    <x v="5"/>
    <n v="9.9"/>
    <s v="D"/>
    <x v="8"/>
    <s v="Amazon Prime"/>
    <s v="Crédito"/>
    <s v="Agendado"/>
  </r>
  <r>
    <d v="2022-07-23T00:00:00"/>
    <x v="5"/>
    <x v="5"/>
    <n v="8.9"/>
    <s v="D"/>
    <x v="8"/>
    <s v="Amazon Music"/>
    <s v="Crédito"/>
    <s v="Agendado"/>
  </r>
  <r>
    <d v="2022-07-25T00:00:00"/>
    <x v="5"/>
    <x v="5"/>
    <n v="30.24"/>
    <s v="D"/>
    <x v="11"/>
    <s v="Sisar – Água do Sítio"/>
    <s v="Dinheiro"/>
    <s v="Pendente"/>
  </r>
  <r>
    <d v="2022-08-05T00:00:00"/>
    <x v="6"/>
    <x v="6"/>
    <n v="1447.03"/>
    <s v="D"/>
    <x v="16"/>
    <s v="Pensão Alimentícia"/>
    <s v="Dinheiro"/>
    <s v="Agendado"/>
  </r>
  <r>
    <d v="2022-08-05T00:00:00"/>
    <x v="6"/>
    <x v="6"/>
    <n v="350"/>
    <s v="D"/>
    <x v="15"/>
    <s v="Tereza"/>
    <s v="Dinheiro"/>
    <s v="Pendente"/>
  </r>
  <r>
    <d v="2022-08-05T00:00:00"/>
    <x v="6"/>
    <x v="6"/>
    <n v="4134.37"/>
    <s v="C"/>
    <x v="0"/>
    <s v="Benefício INSS"/>
    <s v="Dinheiro"/>
    <s v="Pendente"/>
  </r>
  <r>
    <d v="2022-08-05T00:00:00"/>
    <x v="6"/>
    <x v="6"/>
    <n v="294.10000000000002"/>
    <s v="D"/>
    <x v="14"/>
    <s v="IR INSS"/>
    <s v="Dinheiro"/>
    <s v="Pendente"/>
  </r>
  <r>
    <d v="2022-08-05T00:00:00"/>
    <x v="6"/>
    <x v="6"/>
    <n v="7.97"/>
    <s v="D"/>
    <x v="13"/>
    <s v="Tarifas e Encargos do Banco do Brasil"/>
    <s v="Dinheiro"/>
    <s v="Pendente"/>
  </r>
  <r>
    <d v="2022-08-05T00:00:00"/>
    <x v="6"/>
    <x v="6"/>
    <n v="320"/>
    <s v="D"/>
    <x v="3"/>
    <s v="Empréstimo consignado para o Josias"/>
    <s v="Dinheiro"/>
    <s v="Pendente"/>
  </r>
  <r>
    <d v="2022-08-10T00:00:00"/>
    <x v="6"/>
    <x v="6"/>
    <n v="69.900000000000006"/>
    <s v="D"/>
    <x v="17"/>
    <s v="NetInfor – Internet do Sítio"/>
    <s v="Dinheiro"/>
    <s v="Pendente"/>
  </r>
  <r>
    <d v="2022-08-10T00:00:00"/>
    <x v="6"/>
    <x v="6"/>
    <n v="650.49"/>
    <s v="D"/>
    <x v="4"/>
    <s v="Unimed Gutemberg"/>
    <s v="Dinheiro"/>
    <s v="Pendente"/>
  </r>
  <r>
    <d v="2022-08-10T00:00:00"/>
    <x v="6"/>
    <x v="6"/>
    <n v="520.24"/>
    <s v="D"/>
    <x v="4"/>
    <s v="Unimed Tereza"/>
    <s v="Dinheiro"/>
    <s v="Pendente"/>
  </r>
  <r>
    <d v="2022-08-10T00:00:00"/>
    <x v="6"/>
    <x v="6"/>
    <n v="25.83"/>
    <s v="D"/>
    <x v="4"/>
    <s v="Uniodonto Gutemberg"/>
    <s v="Dinheiro"/>
    <s v="Pendente"/>
  </r>
  <r>
    <d v="2022-08-15T00:00:00"/>
    <x v="6"/>
    <x v="6"/>
    <n v="99"/>
    <s v="D"/>
    <x v="17"/>
    <s v="Brisanet – Internet da casa do Planalto"/>
    <s v="Dinheiro"/>
    <s v="Pendente"/>
  </r>
  <r>
    <d v="2022-08-15T00:00:00"/>
    <x v="6"/>
    <x v="6"/>
    <n v="14.9"/>
    <s v="D"/>
    <x v="7"/>
    <s v="Telefone fixo na casa do Planalto"/>
    <s v="Dinheiro"/>
    <s v="Pendente"/>
  </r>
  <r>
    <d v="2022-08-20T00:00:00"/>
    <x v="6"/>
    <x v="6"/>
    <n v="4633.79"/>
    <s v="C"/>
    <x v="0"/>
    <s v="Benefício FAELCE"/>
    <s v="Dinheiro"/>
    <s v="Pendente"/>
  </r>
  <r>
    <d v="2022-08-20T00:00:00"/>
    <x v="6"/>
    <x v="6"/>
    <n v="363.82"/>
    <s v="D"/>
    <x v="14"/>
    <s v="IR FAELCE"/>
    <s v="Dinheiro"/>
    <s v="Pendente"/>
  </r>
  <r>
    <d v="2022-08-21T00:00:00"/>
    <x v="6"/>
    <x v="6"/>
    <n v="95.14"/>
    <s v="D"/>
    <x v="12"/>
    <s v="Energia elétrica da casa do Planalto"/>
    <s v="Dinheiro"/>
    <s v="Pendente"/>
  </r>
  <r>
    <d v="2022-08-21T00:00:00"/>
    <x v="6"/>
    <x v="6"/>
    <n v="206.52"/>
    <s v="D"/>
    <x v="12"/>
    <s v="Energia Elétrica do Sítio"/>
    <s v="Dinheiro"/>
    <s v="Pendente"/>
  </r>
  <r>
    <d v="2022-08-22T00:00:00"/>
    <x v="6"/>
    <x v="6"/>
    <n v="80"/>
    <s v="D"/>
    <x v="11"/>
    <s v="Cagece – Água da casa do Planalto"/>
    <s v="Dinheiro"/>
    <s v="Pendente"/>
  </r>
  <r>
    <d v="2022-08-23T00:00:00"/>
    <x v="6"/>
    <x v="6"/>
    <n v="100"/>
    <s v="D"/>
    <x v="10"/>
    <s v="Combustível"/>
    <s v="Débito"/>
    <s v="Pendente"/>
  </r>
  <r>
    <d v="2022-08-23T00:00:00"/>
    <x v="6"/>
    <x v="6"/>
    <n v="9.9"/>
    <s v="D"/>
    <x v="8"/>
    <s v="Amazon Prime"/>
    <s v="Crédito"/>
    <s v="Agendado"/>
  </r>
  <r>
    <d v="2022-08-23T00:00:00"/>
    <x v="6"/>
    <x v="6"/>
    <n v="8.9"/>
    <s v="D"/>
    <x v="8"/>
    <s v="Amazon Music"/>
    <s v="Crédito"/>
    <s v="Agendado"/>
  </r>
  <r>
    <d v="2022-08-25T00:00:00"/>
    <x v="6"/>
    <x v="6"/>
    <n v="30.24"/>
    <s v="D"/>
    <x v="11"/>
    <s v="Sisar – Água do Sítio"/>
    <s v="Dinheiro"/>
    <s v="Pendente"/>
  </r>
  <r>
    <d v="2022-09-05T00:00:00"/>
    <x v="7"/>
    <x v="7"/>
    <n v="500"/>
    <s v="D"/>
    <x v="15"/>
    <s v="Licenciamento da Bis"/>
    <s v="Dinheiro"/>
    <s v="Pendente"/>
  </r>
  <r>
    <d v="2022-09-05T00:00:00"/>
    <x v="7"/>
    <x v="7"/>
    <n v="1447.03"/>
    <s v="D"/>
    <x v="16"/>
    <s v="Pensão Alimentícia"/>
    <s v="Dinheiro"/>
    <s v="Agendado"/>
  </r>
  <r>
    <d v="2022-09-05T00:00:00"/>
    <x v="7"/>
    <x v="7"/>
    <n v="350"/>
    <s v="D"/>
    <x v="15"/>
    <s v="Tereza"/>
    <s v="Dinheiro"/>
    <s v="Pendente"/>
  </r>
  <r>
    <d v="2022-09-05T00:00:00"/>
    <x v="7"/>
    <x v="7"/>
    <n v="4134.37"/>
    <s v="C"/>
    <x v="0"/>
    <s v="Benefício INSS"/>
    <s v="Dinheiro"/>
    <s v="Pendente"/>
  </r>
  <r>
    <d v="2022-09-05T00:00:00"/>
    <x v="7"/>
    <x v="7"/>
    <n v="294.10000000000002"/>
    <s v="D"/>
    <x v="14"/>
    <s v="IR INSS"/>
    <s v="Dinheiro"/>
    <s v="Pendente"/>
  </r>
  <r>
    <d v="2022-09-05T00:00:00"/>
    <x v="7"/>
    <x v="7"/>
    <n v="7.97"/>
    <s v="D"/>
    <x v="13"/>
    <s v="Tarifas e Encargos do Banco do Brasil"/>
    <s v="Dinheiro"/>
    <s v="Pendente"/>
  </r>
  <r>
    <d v="2022-09-05T00:00:00"/>
    <x v="7"/>
    <x v="7"/>
    <n v="320"/>
    <s v="D"/>
    <x v="3"/>
    <s v="Empréstimo consignado para o Josias"/>
    <s v="Dinheiro"/>
    <s v="Pendente"/>
  </r>
  <r>
    <d v="2022-09-10T00:00:00"/>
    <x v="7"/>
    <x v="7"/>
    <n v="69.900000000000006"/>
    <s v="D"/>
    <x v="17"/>
    <s v="NetInfor – Internet do Sítio"/>
    <s v="Dinheiro"/>
    <s v="Pendente"/>
  </r>
  <r>
    <d v="2022-09-10T00:00:00"/>
    <x v="7"/>
    <x v="7"/>
    <n v="650.49"/>
    <s v="D"/>
    <x v="4"/>
    <s v="Unimed Gutemberg"/>
    <s v="Dinheiro"/>
    <s v="Pendente"/>
  </r>
  <r>
    <d v="2022-09-10T00:00:00"/>
    <x v="7"/>
    <x v="7"/>
    <n v="520.24"/>
    <s v="D"/>
    <x v="4"/>
    <s v="Unimed Tereza"/>
    <s v="Dinheiro"/>
    <s v="Pendente"/>
  </r>
  <r>
    <d v="2022-09-10T00:00:00"/>
    <x v="7"/>
    <x v="7"/>
    <n v="25.83"/>
    <s v="D"/>
    <x v="4"/>
    <s v="Uniodonto Gutemberg"/>
    <s v="Dinheiro"/>
    <s v="Pendente"/>
  </r>
  <r>
    <d v="2022-09-15T00:00:00"/>
    <x v="7"/>
    <x v="7"/>
    <n v="99"/>
    <s v="D"/>
    <x v="17"/>
    <s v="Brisanet – Internet da casa do Planalto"/>
    <s v="Dinheiro"/>
    <s v="Pendente"/>
  </r>
  <r>
    <d v="2022-09-15T00:00:00"/>
    <x v="7"/>
    <x v="7"/>
    <n v="14.9"/>
    <s v="D"/>
    <x v="7"/>
    <s v="Telefone fixo na casa do Planalto"/>
    <s v="Dinheiro"/>
    <s v="Pendente"/>
  </r>
  <r>
    <d v="2022-09-20T00:00:00"/>
    <x v="7"/>
    <x v="7"/>
    <n v="4633.79"/>
    <s v="C"/>
    <x v="0"/>
    <s v="Benefício FAELCE"/>
    <s v="Dinheiro"/>
    <s v="Pendente"/>
  </r>
  <r>
    <d v="2022-09-20T00:00:00"/>
    <x v="7"/>
    <x v="7"/>
    <n v="363.82"/>
    <s v="D"/>
    <x v="14"/>
    <s v="IR FAELCE"/>
    <s v="Dinheiro"/>
    <s v="Pendente"/>
  </r>
  <r>
    <d v="2022-09-21T00:00:00"/>
    <x v="7"/>
    <x v="7"/>
    <n v="95.14"/>
    <s v="D"/>
    <x v="12"/>
    <s v="Energia elétrica da casa do Planalto"/>
    <s v="Dinheiro"/>
    <s v="Pendente"/>
  </r>
  <r>
    <d v="2022-09-21T00:00:00"/>
    <x v="7"/>
    <x v="7"/>
    <n v="206.52"/>
    <s v="D"/>
    <x v="12"/>
    <s v="Energia Elétrica do Sítio"/>
    <s v="Dinheiro"/>
    <s v="Pendente"/>
  </r>
  <r>
    <d v="2022-09-22T00:00:00"/>
    <x v="7"/>
    <x v="7"/>
    <n v="80"/>
    <s v="D"/>
    <x v="11"/>
    <s v="Cagece – Água da casa do Planalto"/>
    <s v="Dinheiro"/>
    <s v="Pendente"/>
  </r>
  <r>
    <d v="2022-09-23T00:00:00"/>
    <x v="7"/>
    <x v="7"/>
    <n v="100"/>
    <s v="D"/>
    <x v="10"/>
    <s v="Combustível"/>
    <s v="Débito"/>
    <s v="Pendente"/>
  </r>
  <r>
    <d v="2022-09-23T00:00:00"/>
    <x v="7"/>
    <x v="7"/>
    <n v="9.9"/>
    <s v="D"/>
    <x v="8"/>
    <s v="Amazon Prime"/>
    <s v="Crédito"/>
    <s v="Agendado"/>
  </r>
  <r>
    <d v="2022-09-23T00:00:00"/>
    <x v="7"/>
    <x v="7"/>
    <n v="8.9"/>
    <s v="D"/>
    <x v="8"/>
    <s v="Amazon Music"/>
    <s v="Crédito"/>
    <s v="Agendado"/>
  </r>
  <r>
    <d v="2022-09-25T00:00:00"/>
    <x v="7"/>
    <x v="7"/>
    <n v="30.24"/>
    <s v="D"/>
    <x v="11"/>
    <s v="Sisar – Água do Sítio"/>
    <s v="Dinheiro"/>
    <s v="Pendente"/>
  </r>
  <r>
    <d v="2022-10-05T00:00:00"/>
    <x v="8"/>
    <x v="8"/>
    <n v="1447.03"/>
    <s v="D"/>
    <x v="16"/>
    <s v="Pensão Alimentícia"/>
    <s v="Dinheiro"/>
    <s v="Agendado"/>
  </r>
  <r>
    <d v="2022-10-05T00:00:00"/>
    <x v="8"/>
    <x v="8"/>
    <n v="350"/>
    <s v="D"/>
    <x v="15"/>
    <s v="Tereza"/>
    <s v="Dinheiro"/>
    <s v="Pendente"/>
  </r>
  <r>
    <d v="2022-10-05T00:00:00"/>
    <x v="8"/>
    <x v="8"/>
    <n v="4134.37"/>
    <s v="C"/>
    <x v="0"/>
    <s v="Benefício INSS"/>
    <s v="Dinheiro"/>
    <s v="Pendente"/>
  </r>
  <r>
    <d v="2022-10-05T00:00:00"/>
    <x v="8"/>
    <x v="8"/>
    <n v="294.10000000000002"/>
    <s v="D"/>
    <x v="14"/>
    <s v="IR INSS"/>
    <s v="Dinheiro"/>
    <s v="Pendente"/>
  </r>
  <r>
    <d v="2022-10-05T00:00:00"/>
    <x v="8"/>
    <x v="8"/>
    <n v="7.97"/>
    <s v="D"/>
    <x v="13"/>
    <s v="Tarifas e Encargos do Banco do Brasil"/>
    <s v="Dinheiro"/>
    <s v="Pendente"/>
  </r>
  <r>
    <d v="2022-10-05T00:00:00"/>
    <x v="8"/>
    <x v="8"/>
    <n v="320"/>
    <s v="D"/>
    <x v="3"/>
    <s v="Empréstimo consignado para o Josias"/>
    <s v="Dinheiro"/>
    <s v="Pendente"/>
  </r>
  <r>
    <d v="2022-10-10T00:00:00"/>
    <x v="8"/>
    <x v="8"/>
    <n v="69.900000000000006"/>
    <s v="D"/>
    <x v="17"/>
    <s v="NetInfor – Internet do Sítio"/>
    <s v="Dinheiro"/>
    <s v="Pendente"/>
  </r>
  <r>
    <d v="2022-10-10T00:00:00"/>
    <x v="8"/>
    <x v="8"/>
    <n v="650.49"/>
    <s v="D"/>
    <x v="4"/>
    <s v="Unimed Gutemberg"/>
    <s v="Dinheiro"/>
    <s v="Pendente"/>
  </r>
  <r>
    <d v="2022-10-10T00:00:00"/>
    <x v="8"/>
    <x v="8"/>
    <n v="520.24"/>
    <s v="D"/>
    <x v="4"/>
    <s v="Unimed Tereza"/>
    <s v="Dinheiro"/>
    <s v="Pendente"/>
  </r>
  <r>
    <d v="2022-10-10T00:00:00"/>
    <x v="8"/>
    <x v="8"/>
    <n v="25.83"/>
    <s v="D"/>
    <x v="4"/>
    <s v="Uniodonto Gutemberg"/>
    <s v="Dinheiro"/>
    <s v="Pendente"/>
  </r>
  <r>
    <d v="2022-10-15T00:00:00"/>
    <x v="8"/>
    <x v="8"/>
    <n v="99"/>
    <s v="D"/>
    <x v="17"/>
    <s v="Brisanet – Internet da casa do Planalto"/>
    <s v="Dinheiro"/>
    <s v="Pendente"/>
  </r>
  <r>
    <d v="2022-10-15T00:00:00"/>
    <x v="8"/>
    <x v="8"/>
    <n v="14.9"/>
    <s v="D"/>
    <x v="7"/>
    <s v="Telefone fixo na casa do Planalto"/>
    <s v="Dinheiro"/>
    <s v="Pendente"/>
  </r>
  <r>
    <d v="2022-10-20T00:00:00"/>
    <x v="8"/>
    <x v="8"/>
    <n v="4633.79"/>
    <s v="C"/>
    <x v="0"/>
    <s v="Benefício FAELCE"/>
    <s v="Dinheiro"/>
    <s v="Pendente"/>
  </r>
  <r>
    <d v="2022-10-20T00:00:00"/>
    <x v="8"/>
    <x v="8"/>
    <n v="363.82"/>
    <s v="D"/>
    <x v="14"/>
    <s v="IR FAELCE"/>
    <s v="Dinheiro"/>
    <s v="Pendente"/>
  </r>
  <r>
    <d v="2022-10-21T00:00:00"/>
    <x v="8"/>
    <x v="8"/>
    <n v="95.14"/>
    <s v="D"/>
    <x v="12"/>
    <s v="Energia elétrica da casa do Planalto"/>
    <s v="Dinheiro"/>
    <s v="Pendente"/>
  </r>
  <r>
    <d v="2022-10-21T00:00:00"/>
    <x v="8"/>
    <x v="8"/>
    <n v="206.52"/>
    <s v="D"/>
    <x v="12"/>
    <s v="Energia Elétrica do Sítio"/>
    <s v="Dinheiro"/>
    <s v="Pendente"/>
  </r>
  <r>
    <d v="2022-10-22T00:00:00"/>
    <x v="8"/>
    <x v="8"/>
    <n v="80"/>
    <s v="D"/>
    <x v="11"/>
    <s v="Cagece – Água da casa do Planalto"/>
    <s v="Dinheiro"/>
    <s v="Pendente"/>
  </r>
  <r>
    <d v="2022-10-23T00:00:00"/>
    <x v="8"/>
    <x v="8"/>
    <n v="100"/>
    <s v="D"/>
    <x v="10"/>
    <s v="Combustível"/>
    <s v="Débito"/>
    <s v="Pendente"/>
  </r>
  <r>
    <d v="2022-10-23T00:00:00"/>
    <x v="8"/>
    <x v="8"/>
    <n v="9.9"/>
    <s v="D"/>
    <x v="8"/>
    <s v="Amazon Prime"/>
    <s v="Crédito"/>
    <s v="Agendado"/>
  </r>
  <r>
    <d v="2022-10-23T00:00:00"/>
    <x v="8"/>
    <x v="8"/>
    <n v="8.9"/>
    <s v="D"/>
    <x v="8"/>
    <s v="Amazon Music"/>
    <s v="Crédito"/>
    <s v="Agendado"/>
  </r>
  <r>
    <d v="2022-10-25T00:00:00"/>
    <x v="8"/>
    <x v="8"/>
    <n v="30.24"/>
    <s v="D"/>
    <x v="11"/>
    <s v="Sisar – Água do Sítio"/>
    <s v="Dinheiro"/>
    <s v="Pendente"/>
  </r>
  <r>
    <d v="2022-11-05T00:00:00"/>
    <x v="9"/>
    <x v="9"/>
    <n v="1447.03"/>
    <s v="D"/>
    <x v="16"/>
    <s v="Pensão Alimentícia"/>
    <s v="Dinheiro"/>
    <s v="Agendado"/>
  </r>
  <r>
    <d v="2022-11-05T00:00:00"/>
    <x v="9"/>
    <x v="9"/>
    <n v="350"/>
    <s v="D"/>
    <x v="15"/>
    <s v="Tereza"/>
    <s v="Dinheiro"/>
    <s v="Pendente"/>
  </r>
  <r>
    <d v="2022-11-05T00:00:00"/>
    <x v="9"/>
    <x v="9"/>
    <n v="4134.37"/>
    <s v="C"/>
    <x v="0"/>
    <s v="Benefício INSS"/>
    <s v="Dinheiro"/>
    <s v="Pendente"/>
  </r>
  <r>
    <d v="2022-11-05T00:00:00"/>
    <x v="9"/>
    <x v="9"/>
    <n v="294.10000000000002"/>
    <s v="D"/>
    <x v="14"/>
    <s v="IR INSS"/>
    <s v="Dinheiro"/>
    <s v="Pendente"/>
  </r>
  <r>
    <d v="2022-11-05T00:00:00"/>
    <x v="9"/>
    <x v="9"/>
    <n v="7.97"/>
    <s v="D"/>
    <x v="13"/>
    <s v="Tarifas e Encargos do Banco do Brasil"/>
    <s v="Dinheiro"/>
    <s v="Pendente"/>
  </r>
  <r>
    <d v="2022-11-05T00:00:00"/>
    <x v="9"/>
    <x v="9"/>
    <n v="320"/>
    <s v="D"/>
    <x v="3"/>
    <s v="Empréstimo consignado para o Josias"/>
    <s v="Dinheiro"/>
    <s v="Pendente"/>
  </r>
  <r>
    <d v="2022-11-10T00:00:00"/>
    <x v="9"/>
    <x v="9"/>
    <n v="69.900000000000006"/>
    <s v="D"/>
    <x v="17"/>
    <s v="NetInfor – Internet do Sítio"/>
    <s v="Dinheiro"/>
    <s v="Pendente"/>
  </r>
  <r>
    <d v="2022-11-10T00:00:00"/>
    <x v="9"/>
    <x v="9"/>
    <n v="650.49"/>
    <s v="D"/>
    <x v="4"/>
    <s v="Unimed Gutemberg"/>
    <s v="Dinheiro"/>
    <s v="Pendente"/>
  </r>
  <r>
    <d v="2022-11-10T00:00:00"/>
    <x v="9"/>
    <x v="9"/>
    <n v="520.24"/>
    <s v="D"/>
    <x v="4"/>
    <s v="Unimed Tereza"/>
    <s v="Dinheiro"/>
    <s v="Pendente"/>
  </r>
  <r>
    <d v="2022-11-10T00:00:00"/>
    <x v="9"/>
    <x v="9"/>
    <n v="25.83"/>
    <s v="D"/>
    <x v="4"/>
    <s v="Uniodonto Gutemberg"/>
    <s v="Dinheiro"/>
    <s v="Pendente"/>
  </r>
  <r>
    <d v="2022-11-15T00:00:00"/>
    <x v="9"/>
    <x v="9"/>
    <n v="99"/>
    <s v="D"/>
    <x v="17"/>
    <s v="Brisanet – Internet da casa do Planalto"/>
    <s v="Dinheiro"/>
    <s v="Pendente"/>
  </r>
  <r>
    <d v="2022-11-15T00:00:00"/>
    <x v="9"/>
    <x v="9"/>
    <n v="14.9"/>
    <s v="D"/>
    <x v="7"/>
    <s v="Telefone fixo na casa do Planalto"/>
    <s v="Dinheiro"/>
    <s v="Pendente"/>
  </r>
  <r>
    <d v="2022-11-20T00:00:00"/>
    <x v="9"/>
    <x v="9"/>
    <n v="4633.79"/>
    <s v="C"/>
    <x v="0"/>
    <s v="Benefício FAELCE"/>
    <s v="Dinheiro"/>
    <s v="Pendente"/>
  </r>
  <r>
    <d v="2022-11-20T00:00:00"/>
    <x v="9"/>
    <x v="9"/>
    <n v="363.82"/>
    <s v="D"/>
    <x v="14"/>
    <s v="IR FAELCE"/>
    <s v="Dinheiro"/>
    <s v="Pendente"/>
  </r>
  <r>
    <d v="2022-11-21T00:00:00"/>
    <x v="9"/>
    <x v="9"/>
    <n v="95.14"/>
    <s v="D"/>
    <x v="12"/>
    <s v="Energia elétrica da casa do Planalto"/>
    <s v="Dinheiro"/>
    <s v="Pendente"/>
  </r>
  <r>
    <d v="2022-11-21T00:00:00"/>
    <x v="9"/>
    <x v="9"/>
    <n v="206.52"/>
    <s v="D"/>
    <x v="12"/>
    <s v="Energia Elétrica do Sítio"/>
    <s v="Dinheiro"/>
    <s v="Pendente"/>
  </r>
  <r>
    <d v="2022-11-22T00:00:00"/>
    <x v="9"/>
    <x v="9"/>
    <n v="80"/>
    <s v="D"/>
    <x v="11"/>
    <s v="Cagece – Água da casa do Planalto"/>
    <s v="Dinheiro"/>
    <s v="Pendente"/>
  </r>
  <r>
    <d v="2022-11-23T00:00:00"/>
    <x v="9"/>
    <x v="9"/>
    <n v="100"/>
    <s v="D"/>
    <x v="10"/>
    <s v="Combustível"/>
    <s v="Débito"/>
    <s v="Pendente"/>
  </r>
  <r>
    <d v="2022-11-23T00:00:00"/>
    <x v="9"/>
    <x v="9"/>
    <n v="9.9"/>
    <s v="D"/>
    <x v="8"/>
    <s v="Amazon Prime"/>
    <s v="Crédito"/>
    <s v="Agendado"/>
  </r>
  <r>
    <d v="2022-11-23T00:00:00"/>
    <x v="9"/>
    <x v="9"/>
    <n v="8.9"/>
    <s v="D"/>
    <x v="8"/>
    <s v="Amazon Music"/>
    <s v="Crédito"/>
    <s v="Agendado"/>
  </r>
  <r>
    <d v="2022-11-25T00:00:00"/>
    <x v="9"/>
    <x v="9"/>
    <n v="30.24"/>
    <s v="D"/>
    <x v="11"/>
    <s v="Sisar – Água do Sítio"/>
    <s v="Dinheiro"/>
    <s v="Pendente"/>
  </r>
  <r>
    <d v="2022-12-05T00:00:00"/>
    <x v="10"/>
    <x v="10"/>
    <n v="320"/>
    <s v="D"/>
    <x v="3"/>
    <s v="Empréstimo consignado para o Josias"/>
    <s v="Dinheiro"/>
    <s v="Pendente"/>
  </r>
  <r>
    <d v="2022-12-05T00:00:00"/>
    <x v="10"/>
    <x v="10"/>
    <n v="7.97"/>
    <s v="D"/>
    <x v="13"/>
    <s v="Tarifas e Encargos do Banco do Brasil"/>
    <s v="Dinheiro"/>
    <s v="Pendente"/>
  </r>
  <r>
    <d v="2022-12-05T00:00:00"/>
    <x v="10"/>
    <x v="10"/>
    <n v="294.10000000000002"/>
    <s v="D"/>
    <x v="14"/>
    <s v="IR INSS"/>
    <s v="Dinheiro"/>
    <s v="Pendente"/>
  </r>
  <r>
    <d v="2022-12-05T00:00:00"/>
    <x v="10"/>
    <x v="10"/>
    <n v="4134.37"/>
    <s v="C"/>
    <x v="0"/>
    <s v="Benefício INSS"/>
    <s v="Dinheiro"/>
    <s v="Pendente"/>
  </r>
  <r>
    <d v="2022-12-05T00:00:00"/>
    <x v="10"/>
    <x v="10"/>
    <n v="350"/>
    <s v="D"/>
    <x v="15"/>
    <s v="Tereza"/>
    <s v="Dinheiro"/>
    <s v="Pendente"/>
  </r>
  <r>
    <d v="2022-12-05T00:00:00"/>
    <x v="10"/>
    <x v="10"/>
    <n v="1447.03"/>
    <s v="D"/>
    <x v="16"/>
    <s v="Pensão Alimentícia"/>
    <s v="Dinheiro"/>
    <s v="Agendado"/>
  </r>
  <r>
    <d v="2022-12-10T00:00:00"/>
    <x v="10"/>
    <x v="10"/>
    <n v="25.83"/>
    <s v="D"/>
    <x v="4"/>
    <s v="Uniodonto Gutemberg"/>
    <s v="Dinheiro"/>
    <s v="Pendente"/>
  </r>
  <r>
    <d v="2022-12-10T00:00:00"/>
    <x v="10"/>
    <x v="10"/>
    <n v="520.24"/>
    <s v="D"/>
    <x v="4"/>
    <s v="Unimed Tereza"/>
    <s v="Dinheiro"/>
    <s v="Pendente"/>
  </r>
  <r>
    <d v="2022-12-10T00:00:00"/>
    <x v="10"/>
    <x v="10"/>
    <n v="650.49"/>
    <s v="D"/>
    <x v="4"/>
    <s v="Unimed Gutemberg"/>
    <s v="Dinheiro"/>
    <s v="Pendente"/>
  </r>
  <r>
    <d v="2022-12-10T00:00:00"/>
    <x v="10"/>
    <x v="10"/>
    <n v="69.900000000000006"/>
    <s v="D"/>
    <x v="17"/>
    <s v="NetInfor – Internet do Sítio"/>
    <s v="Dinheiro"/>
    <s v="Pendente"/>
  </r>
  <r>
    <d v="2022-12-15T00:00:00"/>
    <x v="10"/>
    <x v="10"/>
    <n v="14.9"/>
    <s v="D"/>
    <x v="7"/>
    <s v="Telefone fixo na casa do Planalto"/>
    <s v="Dinheiro"/>
    <s v="Pendente"/>
  </r>
  <r>
    <d v="2022-12-15T00:00:00"/>
    <x v="10"/>
    <x v="10"/>
    <n v="99"/>
    <s v="D"/>
    <x v="17"/>
    <s v="Brisanet – Internet da casa do Planalto"/>
    <s v="Dinheiro"/>
    <s v="Pendente"/>
  </r>
  <r>
    <d v="2022-12-20T00:00:00"/>
    <x v="10"/>
    <x v="10"/>
    <n v="363.82"/>
    <s v="D"/>
    <x v="14"/>
    <s v="IR FAELCE"/>
    <s v="Dinheiro"/>
    <s v="Pendente"/>
  </r>
  <r>
    <d v="2022-12-20T00:00:00"/>
    <x v="10"/>
    <x v="10"/>
    <n v="4633.79"/>
    <s v="C"/>
    <x v="0"/>
    <s v="Benefício FAELCE"/>
    <s v="Dinheiro"/>
    <s v="Pendente"/>
  </r>
  <r>
    <d v="2022-12-21T00:00:00"/>
    <x v="10"/>
    <x v="10"/>
    <n v="206.52"/>
    <s v="D"/>
    <x v="12"/>
    <s v="Energia Elétrica do Sítio"/>
    <s v="Dinheiro"/>
    <s v="Pendente"/>
  </r>
  <r>
    <d v="2022-12-21T00:00:00"/>
    <x v="10"/>
    <x v="10"/>
    <n v="95.14"/>
    <s v="D"/>
    <x v="12"/>
    <s v="Energia elétrica da casa do Planalto"/>
    <s v="Dinheiro"/>
    <s v="Pendente"/>
  </r>
  <r>
    <d v="2022-12-22T00:00:00"/>
    <x v="10"/>
    <x v="10"/>
    <n v="80"/>
    <s v="D"/>
    <x v="11"/>
    <s v="Cagece – Água da casa do Planalto"/>
    <s v="Dinheiro"/>
    <s v="Pendente"/>
  </r>
  <r>
    <d v="2022-12-23T00:00:00"/>
    <x v="10"/>
    <x v="10"/>
    <n v="8.9"/>
    <s v="D"/>
    <x v="8"/>
    <s v="Amazon Music"/>
    <s v="Crédito"/>
    <s v="Agendado"/>
  </r>
  <r>
    <d v="2022-12-23T00:00:00"/>
    <x v="10"/>
    <x v="10"/>
    <n v="9.9"/>
    <s v="D"/>
    <x v="8"/>
    <s v="Amazon Prime"/>
    <s v="Crédito"/>
    <s v="Agendado"/>
  </r>
  <r>
    <d v="2022-12-23T00:00:00"/>
    <x v="10"/>
    <x v="10"/>
    <n v="100"/>
    <s v="D"/>
    <x v="10"/>
    <s v="Combustível"/>
    <s v="Débito"/>
    <s v="Pendente"/>
  </r>
  <r>
    <d v="2022-12-25T00:00:00"/>
    <x v="10"/>
    <x v="10"/>
    <n v="30.24"/>
    <s v="D"/>
    <x v="11"/>
    <s v="Sisar – Água do Sítio"/>
    <s v="Dinheiro"/>
    <s v="Pendent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36DC1-4491-4604-B581-F990C626E4CE}" name="Tabela dinâmica3" cacheId="2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O4:P23" firstHeaderRow="1" firstDataRow="1" firstDataCol="1"/>
  <pivotFields count="9">
    <pivotField numFmtId="22" showAll="0"/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dataField="1" showAll="0"/>
    <pivotField showAll="0"/>
    <pivotField axis="axisRow" showAll="0">
      <items count="19">
        <item x="11"/>
        <item x="9"/>
        <item x="13"/>
        <item x="0"/>
        <item x="12"/>
        <item x="3"/>
        <item x="5"/>
        <item x="14"/>
        <item x="17"/>
        <item x="8"/>
        <item x="6"/>
        <item x="16"/>
        <item x="4"/>
        <item x="1"/>
        <item x="7"/>
        <item x="15"/>
        <item x="10"/>
        <item x="2"/>
        <item t="default"/>
      </items>
    </pivotField>
    <pivotField showAll="0"/>
    <pivotField showAll="0"/>
    <pivotField showAll="0"/>
  </pivotFields>
  <rowFields count="1">
    <field x="5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Soma de Valor" fld="3" baseField="0" baseItem="0" numFmtId="166"/>
  </dataFields>
  <formats count="2">
    <format dxfId="72">
      <pivotArea outline="0" collapsedLevelsAreSubtotals="1" fieldPosition="0"/>
    </format>
    <format dxfId="7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665EA1A-C649-41DB-A627-FFFCDA1DB550}" autoFormatId="16" applyNumberFormats="0" applyBorderFormats="0" applyFontFormats="0" applyPatternFormats="0" applyAlignmentFormats="0" applyWidthHeightFormats="0">
  <queryTableRefresh nextId="10">
    <queryTableFields count="9">
      <queryTableField id="1" name="Data" tableColumnId="1"/>
      <queryTableField id="2" name="Mês" tableColumnId="2"/>
      <queryTableField id="3" name="Ano" tableColumnId="3"/>
      <queryTableField id="4" name="Valor" tableColumnId="4"/>
      <queryTableField id="5" name="Tipo" tableColumnId="5"/>
      <queryTableField id="6" name="Categoria" tableColumnId="6"/>
      <queryTableField id="7" name="Descrição" tableColumnId="7"/>
      <queryTableField id="8" name="Forma de Pagamento" tableColumnId="8"/>
      <queryTableField id="9" name="Status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891DA1-0DDC-482C-8858-1D0A60EA8AD8}" name="Dados" displayName="Dados" ref="A1:I196" tableType="queryTable" totalsRowShown="0">
  <autoFilter ref="A1:I196" xr:uid="{D4891DA1-0DDC-482C-8858-1D0A60EA8AD8}"/>
  <tableColumns count="9">
    <tableColumn id="1" xr3:uid="{23D25741-6741-4E2F-9D2E-14713BF82E13}" uniqueName="1" name="Data" queryTableFieldId="1" dataDxfId="81"/>
    <tableColumn id="2" xr3:uid="{1EB377E2-604B-44E0-9DC2-1425919F2727}" uniqueName="2" name="Mês" queryTableFieldId="2" dataDxfId="80"/>
    <tableColumn id="3" xr3:uid="{F0A73A22-2383-45E8-8016-9D04AA4FE061}" uniqueName="3" name="Ano" queryTableFieldId="3" dataDxfId="79"/>
    <tableColumn id="4" xr3:uid="{8E72E8A4-5039-4544-B5B6-E912D9E4F02B}" uniqueName="4" name="Valor" queryTableFieldId="4"/>
    <tableColumn id="5" xr3:uid="{37ED6552-5ACD-491E-8A12-9645899AEB40}" uniqueName="5" name="Tipo" queryTableFieldId="5" dataDxfId="78"/>
    <tableColumn id="6" xr3:uid="{37BB8792-AA2F-4388-A733-12FC59C329D6}" uniqueName="6" name="Categoria" queryTableFieldId="6" dataDxfId="77"/>
    <tableColumn id="7" xr3:uid="{E66F1EE1-4A15-40B5-B3C3-CEAF8B5FDDD7}" uniqueName="7" name="Descrição" queryTableFieldId="7" dataDxfId="76"/>
    <tableColumn id="8" xr3:uid="{03A19AE0-CE78-499A-AA8C-1F922C532B01}" uniqueName="8" name="Forma de Pagamento" queryTableFieldId="8" dataDxfId="75"/>
    <tableColumn id="9" xr3:uid="{B084A18D-8171-492F-9B5D-BB41E8DFF847}" uniqueName="9" name="Status" queryTableFieldId="9" dataDxfId="7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87CF58-0E49-461A-B585-D62AAD1DB6A4}" name="Tabela1" displayName="Tabela1" ref="A1:I196" totalsRowShown="0" headerRowDxfId="82" dataDxfId="83" headerRowBorderDxfId="93" tableBorderDxfId="94" totalsRowBorderDxfId="92">
  <autoFilter ref="A1:I196" xr:uid="{A187CF58-0E49-461A-B585-D62AAD1DB6A4}"/>
  <tableColumns count="9">
    <tableColumn id="1" xr3:uid="{3CF892F7-EB33-43D2-9949-4F7825B1C109}" name="Data" dataDxfId="91"/>
    <tableColumn id="2" xr3:uid="{14A025E3-C381-4C8A-AB99-4912D4ADCD1F}" name="Mês" dataDxfId="90">
      <calculatedColumnFormula>IF(A2&lt;&gt;"",VLOOKUP(MONTH(A2),Apoio!$A$2:$B$13,2,0),"")</calculatedColumnFormula>
    </tableColumn>
    <tableColumn id="3" xr3:uid="{C8450821-AEAF-42B3-95AB-642CC550B438}" name="Ano" dataDxfId="73">
      <calculatedColumnFormula>IF(A2&lt;&gt;"",YEAR(Tabela1[[#This Row],[Data]]),"")</calculatedColumnFormula>
    </tableColumn>
    <tableColumn id="4" xr3:uid="{E15733F8-2D6C-4B5C-BEBF-550D0CA083E8}" name="Valor" dataDxfId="89"/>
    <tableColumn id="5" xr3:uid="{4E5FBE44-E4D8-4B37-9E05-D66D60A683ED}" name="Tipo" dataDxfId="88"/>
    <tableColumn id="6" xr3:uid="{2CD4A5C7-1D24-4976-9DAC-10A55E696554}" name="Categoria" dataDxfId="87"/>
    <tableColumn id="7" xr3:uid="{F0E725F4-5B49-4318-83EB-0477A869C23D}" name="Descrição" dataDxfId="86"/>
    <tableColumn id="8" xr3:uid="{E2755932-9E00-484E-81E5-872CB0037727}" name="Forma de Pagamento" dataDxfId="85"/>
    <tableColumn id="9" xr3:uid="{EA59499D-E3FF-4FEC-AA12-5464CFD8F5D9}" name="Status" dataDxfId="8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9E371-4398-4D13-9E6C-AAF63778EFD6}">
  <dimension ref="B7:H10"/>
  <sheetViews>
    <sheetView workbookViewId="0">
      <selection activeCell="B11" sqref="B11"/>
    </sheetView>
  </sheetViews>
  <sheetFormatPr defaultRowHeight="15" x14ac:dyDescent="0.25"/>
  <cols>
    <col min="2" max="2" width="20.28515625" customWidth="1"/>
    <col min="3" max="3" width="20.85546875" customWidth="1"/>
    <col min="4" max="4" width="12.140625" customWidth="1"/>
    <col min="5" max="5" width="18.7109375" customWidth="1"/>
    <col min="6" max="6" width="35.140625" customWidth="1"/>
    <col min="7" max="7" width="31.28515625" customWidth="1"/>
    <col min="8" max="8" width="17.42578125" customWidth="1"/>
  </cols>
  <sheetData>
    <row r="7" spans="2:8" ht="23.25" x14ac:dyDescent="0.35">
      <c r="B7" s="7" t="s">
        <v>0</v>
      </c>
      <c r="C7" s="7"/>
      <c r="D7" s="7"/>
      <c r="E7" s="7"/>
      <c r="F7" s="7"/>
      <c r="G7" s="7"/>
      <c r="H7" s="7"/>
    </row>
    <row r="9" spans="2:8" ht="21" x14ac:dyDescent="0.35">
      <c r="B9" s="8" t="s">
        <v>1</v>
      </c>
      <c r="C9" s="8" t="s">
        <v>2</v>
      </c>
      <c r="D9" s="8" t="s">
        <v>3</v>
      </c>
      <c r="E9" s="8" t="s">
        <v>4</v>
      </c>
      <c r="F9" s="8" t="s">
        <v>5</v>
      </c>
      <c r="G9" s="8" t="s">
        <v>6</v>
      </c>
      <c r="H9" s="8" t="s">
        <v>7</v>
      </c>
    </row>
    <row r="10" spans="2:8" s="9" customFormat="1" ht="30" customHeight="1" x14ac:dyDescent="0.25">
      <c r="B10" s="10"/>
      <c r="C10" s="11"/>
      <c r="D10" s="12"/>
      <c r="E10" s="12"/>
      <c r="F10" s="13"/>
      <c r="G10" s="12"/>
      <c r="H10" s="12"/>
    </row>
  </sheetData>
  <mergeCells count="1">
    <mergeCell ref="B7:H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EntrarDados">
                <anchor moveWithCells="1" siz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1152525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1D54E5F-8BE0-48CE-B41A-60933684DDE0}">
          <x14:formula1>
            <xm:f>Apoio!$F$2:$F$3</xm:f>
          </x14:formula1>
          <xm:sqref>D10</xm:sqref>
        </x14:dataValidation>
        <x14:dataValidation type="list" allowBlank="1" showInputMessage="1" showErrorMessage="1" xr:uid="{356E998A-9DCA-4902-8D0D-6C4E6FED47F0}">
          <x14:formula1>
            <xm:f>Apoio!$E$2:$E$27</xm:f>
          </x14:formula1>
          <xm:sqref>E10</xm:sqref>
        </x14:dataValidation>
        <x14:dataValidation type="list" allowBlank="1" showInputMessage="1" showErrorMessage="1" xr:uid="{E6A1F708-8632-4386-B6C8-27A9D65BE356}">
          <x14:formula1>
            <xm:f>Apoio!$I$2:$I$5</xm:f>
          </x14:formula1>
          <xm:sqref>G10</xm:sqref>
        </x14:dataValidation>
        <x14:dataValidation type="list" allowBlank="1" showInputMessage="1" showErrorMessage="1" xr:uid="{315E64DB-AD5A-4C7C-9859-F076EF4F4283}">
          <x14:formula1>
            <xm:f>Apoio!$H$2:$H$5</xm:f>
          </x14:formula1>
          <xm:sqref>H10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857AA-BA20-4DE9-B1EE-4CFF27B96C3C}">
  <dimension ref="A1:I196"/>
  <sheetViews>
    <sheetView workbookViewId="0">
      <selection activeCell="A6" sqref="A6:I6"/>
    </sheetView>
  </sheetViews>
  <sheetFormatPr defaultRowHeight="15" x14ac:dyDescent="0.25"/>
  <cols>
    <col min="1" max="1" width="15.85546875" bestFit="1" customWidth="1"/>
    <col min="2" max="2" width="7.140625" bestFit="1" customWidth="1"/>
    <col min="3" max="3" width="6.85546875" bestFit="1" customWidth="1"/>
    <col min="4" max="4" width="8" bestFit="1" customWidth="1"/>
    <col min="5" max="5" width="7.140625" bestFit="1" customWidth="1"/>
    <col min="6" max="6" width="17.28515625" bestFit="1" customWidth="1"/>
    <col min="7" max="7" width="41.140625" bestFit="1" customWidth="1"/>
    <col min="8" max="8" width="22.28515625" bestFit="1" customWidth="1"/>
    <col min="9" max="9" width="10" bestFit="1" customWidth="1"/>
  </cols>
  <sheetData>
    <row r="1" spans="1:9" x14ac:dyDescent="0.25">
      <c r="A1" t="s">
        <v>1</v>
      </c>
      <c r="B1" t="s">
        <v>8</v>
      </c>
      <c r="C1" t="s">
        <v>9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</row>
    <row r="2" spans="1:9" x14ac:dyDescent="0.25">
      <c r="A2" s="35">
        <v>43831</v>
      </c>
      <c r="B2" s="36" t="s">
        <v>78</v>
      </c>
      <c r="C2" s="36" t="s">
        <v>78</v>
      </c>
      <c r="D2">
        <v>11111</v>
      </c>
      <c r="E2" s="36" t="s">
        <v>52</v>
      </c>
      <c r="F2" s="36" t="s">
        <v>53</v>
      </c>
      <c r="G2" s="36" t="s">
        <v>91</v>
      </c>
      <c r="H2" s="36" t="s">
        <v>14</v>
      </c>
      <c r="I2" s="36" t="s">
        <v>79</v>
      </c>
    </row>
    <row r="3" spans="1:9" x14ac:dyDescent="0.25">
      <c r="A3" s="35">
        <v>43845</v>
      </c>
      <c r="B3" s="36" t="s">
        <v>78</v>
      </c>
      <c r="C3" s="36" t="s">
        <v>78</v>
      </c>
      <c r="D3">
        <v>321</v>
      </c>
      <c r="E3" s="36" t="s">
        <v>11</v>
      </c>
      <c r="F3" s="36" t="s">
        <v>32</v>
      </c>
      <c r="G3" s="36" t="s">
        <v>93</v>
      </c>
      <c r="H3" s="36" t="s">
        <v>25</v>
      </c>
      <c r="I3" s="36" t="s">
        <v>41</v>
      </c>
    </row>
    <row r="4" spans="1:9" x14ac:dyDescent="0.25">
      <c r="A4" s="35">
        <v>43862</v>
      </c>
      <c r="B4" s="36" t="s">
        <v>80</v>
      </c>
      <c r="C4" s="36" t="s">
        <v>80</v>
      </c>
      <c r="D4">
        <v>222</v>
      </c>
      <c r="E4" s="36" t="s">
        <v>11</v>
      </c>
      <c r="F4" s="36" t="s">
        <v>89</v>
      </c>
      <c r="G4" s="36" t="s">
        <v>92</v>
      </c>
      <c r="H4" s="36" t="s">
        <v>36</v>
      </c>
      <c r="I4" s="36" t="s">
        <v>49</v>
      </c>
    </row>
    <row r="5" spans="1:9" x14ac:dyDescent="0.25">
      <c r="A5" s="35">
        <v>44656</v>
      </c>
      <c r="B5" s="36" t="s">
        <v>10</v>
      </c>
      <c r="C5" s="36" t="s">
        <v>10</v>
      </c>
      <c r="D5">
        <v>320</v>
      </c>
      <c r="E5" s="36" t="s">
        <v>11</v>
      </c>
      <c r="F5" s="36" t="s">
        <v>12</v>
      </c>
      <c r="G5" s="36" t="s">
        <v>13</v>
      </c>
      <c r="H5" s="36" t="s">
        <v>14</v>
      </c>
      <c r="I5" s="36" t="s">
        <v>15</v>
      </c>
    </row>
    <row r="6" spans="1:9" x14ac:dyDescent="0.25">
      <c r="A6" s="35">
        <v>44661</v>
      </c>
      <c r="B6" s="36" t="s">
        <v>10</v>
      </c>
      <c r="C6" s="36" t="s">
        <v>10</v>
      </c>
      <c r="D6">
        <v>25.83</v>
      </c>
      <c r="E6" s="36" t="s">
        <v>11</v>
      </c>
      <c r="F6" s="36" t="s">
        <v>16</v>
      </c>
      <c r="G6" s="36" t="s">
        <v>17</v>
      </c>
      <c r="H6" s="36" t="s">
        <v>14</v>
      </c>
      <c r="I6" s="36" t="s">
        <v>15</v>
      </c>
    </row>
    <row r="7" spans="1:9" x14ac:dyDescent="0.25">
      <c r="A7" s="35">
        <v>44661</v>
      </c>
      <c r="B7" s="36" t="s">
        <v>10</v>
      </c>
      <c r="C7" s="36" t="s">
        <v>10</v>
      </c>
      <c r="D7">
        <v>520.24</v>
      </c>
      <c r="E7" s="36" t="s">
        <v>11</v>
      </c>
      <c r="F7" s="36" t="s">
        <v>16</v>
      </c>
      <c r="G7" s="36" t="s">
        <v>18</v>
      </c>
      <c r="H7" s="36" t="s">
        <v>14</v>
      </c>
      <c r="I7" s="36" t="s">
        <v>15</v>
      </c>
    </row>
    <row r="8" spans="1:9" x14ac:dyDescent="0.25">
      <c r="A8" s="35">
        <v>44661</v>
      </c>
      <c r="B8" s="36" t="s">
        <v>10</v>
      </c>
      <c r="C8" s="36" t="s">
        <v>10</v>
      </c>
      <c r="D8">
        <v>650.49</v>
      </c>
      <c r="E8" s="36" t="s">
        <v>11</v>
      </c>
      <c r="F8" s="36" t="s">
        <v>16</v>
      </c>
      <c r="G8" s="36" t="s">
        <v>19</v>
      </c>
      <c r="H8" s="36" t="s">
        <v>14</v>
      </c>
      <c r="I8" s="36" t="s">
        <v>15</v>
      </c>
    </row>
    <row r="9" spans="1:9" x14ac:dyDescent="0.25">
      <c r="A9" s="35">
        <v>44671</v>
      </c>
      <c r="B9" s="36" t="s">
        <v>10</v>
      </c>
      <c r="C9" s="36" t="s">
        <v>10</v>
      </c>
      <c r="D9">
        <v>98.58</v>
      </c>
      <c r="E9" s="36" t="s">
        <v>11</v>
      </c>
      <c r="F9" s="36" t="s">
        <v>20</v>
      </c>
      <c r="G9" s="36" t="s">
        <v>21</v>
      </c>
      <c r="H9" s="36" t="s">
        <v>14</v>
      </c>
      <c r="I9" s="36" t="s">
        <v>15</v>
      </c>
    </row>
    <row r="10" spans="1:9" x14ac:dyDescent="0.25">
      <c r="A10" s="35">
        <v>44671</v>
      </c>
      <c r="B10" s="36" t="s">
        <v>10</v>
      </c>
      <c r="C10" s="36" t="s">
        <v>10</v>
      </c>
      <c r="D10">
        <v>206</v>
      </c>
      <c r="E10" s="36" t="s">
        <v>11</v>
      </c>
      <c r="F10" s="36" t="s">
        <v>16</v>
      </c>
      <c r="G10" s="36" t="s">
        <v>22</v>
      </c>
      <c r="H10" s="36" t="s">
        <v>14</v>
      </c>
      <c r="I10" s="36" t="s">
        <v>15</v>
      </c>
    </row>
    <row r="11" spans="1:9" x14ac:dyDescent="0.25">
      <c r="A11" s="35">
        <v>44672</v>
      </c>
      <c r="B11" s="36" t="s">
        <v>10</v>
      </c>
      <c r="C11" s="36" t="s">
        <v>10</v>
      </c>
      <c r="D11">
        <v>48.21</v>
      </c>
      <c r="E11" s="36" t="s">
        <v>11</v>
      </c>
      <c r="F11" s="36" t="s">
        <v>23</v>
      </c>
      <c r="G11" s="36" t="s">
        <v>24</v>
      </c>
      <c r="H11" s="36" t="s">
        <v>25</v>
      </c>
      <c r="I11" s="36" t="s">
        <v>15</v>
      </c>
    </row>
    <row r="12" spans="1:9" x14ac:dyDescent="0.25">
      <c r="A12" s="35">
        <v>44672</v>
      </c>
      <c r="B12" s="36" t="s">
        <v>10</v>
      </c>
      <c r="C12" s="36" t="s">
        <v>10</v>
      </c>
      <c r="D12">
        <v>47</v>
      </c>
      <c r="E12" s="36" t="s">
        <v>11</v>
      </c>
      <c r="F12" s="36" t="s">
        <v>26</v>
      </c>
      <c r="G12" s="36" t="s">
        <v>27</v>
      </c>
      <c r="H12" s="36" t="s">
        <v>25</v>
      </c>
      <c r="I12" s="36" t="s">
        <v>15</v>
      </c>
    </row>
    <row r="13" spans="1:9" x14ac:dyDescent="0.25">
      <c r="A13" s="35">
        <v>44672</v>
      </c>
      <c r="B13" s="36" t="s">
        <v>10</v>
      </c>
      <c r="C13" s="36" t="s">
        <v>10</v>
      </c>
      <c r="D13">
        <v>6.9</v>
      </c>
      <c r="E13" s="36" t="s">
        <v>11</v>
      </c>
      <c r="F13" s="36" t="s">
        <v>28</v>
      </c>
      <c r="G13" s="36" t="s">
        <v>29</v>
      </c>
      <c r="H13" s="36" t="s">
        <v>25</v>
      </c>
      <c r="I13" s="36" t="s">
        <v>15</v>
      </c>
    </row>
    <row r="14" spans="1:9" x14ac:dyDescent="0.25">
      <c r="A14" s="35">
        <v>44672</v>
      </c>
      <c r="B14" s="36" t="s">
        <v>10</v>
      </c>
      <c r="C14" s="36" t="s">
        <v>10</v>
      </c>
      <c r="D14">
        <v>9.9</v>
      </c>
      <c r="E14" s="36" t="s">
        <v>11</v>
      </c>
      <c r="F14" s="36" t="s">
        <v>28</v>
      </c>
      <c r="G14" s="36" t="s">
        <v>30</v>
      </c>
      <c r="H14" s="36" t="s">
        <v>25</v>
      </c>
      <c r="I14" s="36" t="s">
        <v>15</v>
      </c>
    </row>
    <row r="15" spans="1:9" x14ac:dyDescent="0.25">
      <c r="A15" s="35">
        <v>44672</v>
      </c>
      <c r="B15" s="36" t="s">
        <v>10</v>
      </c>
      <c r="C15" s="36" t="s">
        <v>10</v>
      </c>
      <c r="D15">
        <v>55.1</v>
      </c>
      <c r="E15" s="36" t="s">
        <v>11</v>
      </c>
      <c r="F15" s="36" t="s">
        <v>20</v>
      </c>
      <c r="G15" s="36" t="s">
        <v>31</v>
      </c>
      <c r="H15" s="36" t="s">
        <v>25</v>
      </c>
      <c r="I15" s="36" t="s">
        <v>15</v>
      </c>
    </row>
    <row r="16" spans="1:9" x14ac:dyDescent="0.25">
      <c r="A16" s="35">
        <v>44672</v>
      </c>
      <c r="B16" s="36" t="s">
        <v>10</v>
      </c>
      <c r="C16" s="36" t="s">
        <v>10</v>
      </c>
      <c r="D16">
        <v>172.75</v>
      </c>
      <c r="E16" s="36" t="s">
        <v>11</v>
      </c>
      <c r="F16" s="36" t="s">
        <v>32</v>
      </c>
      <c r="G16" s="36" t="s">
        <v>33</v>
      </c>
      <c r="H16" s="36" t="s">
        <v>25</v>
      </c>
      <c r="I16" s="36" t="s">
        <v>15</v>
      </c>
    </row>
    <row r="17" spans="1:9" x14ac:dyDescent="0.25">
      <c r="A17" s="35">
        <v>44673</v>
      </c>
      <c r="B17" s="36" t="s">
        <v>10</v>
      </c>
      <c r="C17" s="36" t="s">
        <v>10</v>
      </c>
      <c r="D17">
        <v>12</v>
      </c>
      <c r="E17" s="36" t="s">
        <v>11</v>
      </c>
      <c r="F17" s="36" t="s">
        <v>34</v>
      </c>
      <c r="G17" s="36" t="s">
        <v>35</v>
      </c>
      <c r="H17" s="36" t="s">
        <v>36</v>
      </c>
      <c r="I17" s="36" t="s">
        <v>15</v>
      </c>
    </row>
    <row r="18" spans="1:9" x14ac:dyDescent="0.25">
      <c r="A18" s="35">
        <v>44674</v>
      </c>
      <c r="B18" s="36" t="s">
        <v>10</v>
      </c>
      <c r="C18" s="36" t="s">
        <v>10</v>
      </c>
      <c r="D18">
        <v>100</v>
      </c>
      <c r="E18" s="36" t="s">
        <v>11</v>
      </c>
      <c r="F18" s="36" t="s">
        <v>37</v>
      </c>
      <c r="G18" s="36" t="s">
        <v>38</v>
      </c>
      <c r="H18" s="36" t="s">
        <v>36</v>
      </c>
      <c r="I18" s="36" t="s">
        <v>15</v>
      </c>
    </row>
    <row r="19" spans="1:9" x14ac:dyDescent="0.25">
      <c r="A19" s="35">
        <v>44676</v>
      </c>
      <c r="B19" s="36" t="s">
        <v>10</v>
      </c>
      <c r="C19" s="36" t="s">
        <v>10</v>
      </c>
      <c r="D19">
        <v>30.24</v>
      </c>
      <c r="E19" s="36" t="s">
        <v>11</v>
      </c>
      <c r="F19" s="36" t="s">
        <v>39</v>
      </c>
      <c r="G19" s="36" t="s">
        <v>40</v>
      </c>
      <c r="H19" s="36" t="s">
        <v>14</v>
      </c>
      <c r="I19" s="36" t="s">
        <v>41</v>
      </c>
    </row>
    <row r="20" spans="1:9" x14ac:dyDescent="0.25">
      <c r="A20" s="35">
        <v>44676</v>
      </c>
      <c r="B20" s="36" t="s">
        <v>10</v>
      </c>
      <c r="C20" s="36" t="s">
        <v>10</v>
      </c>
      <c r="D20">
        <v>206.52</v>
      </c>
      <c r="E20" s="36" t="s">
        <v>11</v>
      </c>
      <c r="F20" s="36" t="s">
        <v>42</v>
      </c>
      <c r="G20" s="36" t="s">
        <v>43</v>
      </c>
      <c r="H20" s="36" t="s">
        <v>14</v>
      </c>
      <c r="I20" s="36" t="s">
        <v>41</v>
      </c>
    </row>
    <row r="21" spans="1:9" x14ac:dyDescent="0.25">
      <c r="A21" s="35">
        <v>44676</v>
      </c>
      <c r="B21" s="36" t="s">
        <v>10</v>
      </c>
      <c r="C21" s="36" t="s">
        <v>10</v>
      </c>
      <c r="D21">
        <v>95.14</v>
      </c>
      <c r="E21" s="36" t="s">
        <v>11</v>
      </c>
      <c r="F21" s="36" t="s">
        <v>42</v>
      </c>
      <c r="G21" s="36" t="s">
        <v>44</v>
      </c>
      <c r="H21" s="36" t="s">
        <v>14</v>
      </c>
      <c r="I21" s="36" t="s">
        <v>41</v>
      </c>
    </row>
    <row r="22" spans="1:9" x14ac:dyDescent="0.25">
      <c r="A22" s="35">
        <v>44683</v>
      </c>
      <c r="B22" s="36" t="s">
        <v>45</v>
      </c>
      <c r="C22" s="36" t="s">
        <v>45</v>
      </c>
      <c r="D22">
        <v>775.73</v>
      </c>
      <c r="E22" s="36" t="s">
        <v>11</v>
      </c>
      <c r="F22" s="36" t="s">
        <v>39</v>
      </c>
      <c r="G22" s="36" t="s">
        <v>46</v>
      </c>
      <c r="H22" s="36" t="s">
        <v>14</v>
      </c>
      <c r="I22" s="36" t="s">
        <v>41</v>
      </c>
    </row>
    <row r="23" spans="1:9" x14ac:dyDescent="0.25">
      <c r="A23" s="35">
        <v>44686</v>
      </c>
      <c r="B23" s="36" t="s">
        <v>45</v>
      </c>
      <c r="C23" s="36" t="s">
        <v>45</v>
      </c>
      <c r="D23">
        <v>7.97</v>
      </c>
      <c r="E23" s="36" t="s">
        <v>11</v>
      </c>
      <c r="F23" s="36" t="s">
        <v>47</v>
      </c>
      <c r="G23" s="36" t="s">
        <v>48</v>
      </c>
      <c r="H23" s="36" t="s">
        <v>14</v>
      </c>
      <c r="I23" s="36" t="s">
        <v>49</v>
      </c>
    </row>
    <row r="24" spans="1:9" x14ac:dyDescent="0.25">
      <c r="A24" s="35">
        <v>44686</v>
      </c>
      <c r="B24" s="36" t="s">
        <v>45</v>
      </c>
      <c r="C24" s="36" t="s">
        <v>45</v>
      </c>
      <c r="D24">
        <v>294.10000000000002</v>
      </c>
      <c r="E24" s="36" t="s">
        <v>11</v>
      </c>
      <c r="F24" s="36" t="s">
        <v>50</v>
      </c>
      <c r="G24" s="36" t="s">
        <v>51</v>
      </c>
      <c r="H24" s="36" t="s">
        <v>14</v>
      </c>
      <c r="I24" s="36" t="s">
        <v>49</v>
      </c>
    </row>
    <row r="25" spans="1:9" x14ac:dyDescent="0.25">
      <c r="A25" s="35">
        <v>44686</v>
      </c>
      <c r="B25" s="36" t="s">
        <v>45</v>
      </c>
      <c r="C25" s="36" t="s">
        <v>45</v>
      </c>
      <c r="D25">
        <v>4134.37</v>
      </c>
      <c r="E25" s="36" t="s">
        <v>52</v>
      </c>
      <c r="F25" s="36" t="s">
        <v>53</v>
      </c>
      <c r="G25" s="36" t="s">
        <v>54</v>
      </c>
      <c r="H25" s="36" t="s">
        <v>14</v>
      </c>
      <c r="I25" s="36" t="s">
        <v>49</v>
      </c>
    </row>
    <row r="26" spans="1:9" x14ac:dyDescent="0.25">
      <c r="A26" s="35">
        <v>44686</v>
      </c>
      <c r="B26" s="36" t="s">
        <v>45</v>
      </c>
      <c r="C26" s="36" t="s">
        <v>45</v>
      </c>
      <c r="D26">
        <v>350</v>
      </c>
      <c r="E26" s="36" t="s">
        <v>11</v>
      </c>
      <c r="F26" s="36" t="s">
        <v>55</v>
      </c>
      <c r="G26" s="36" t="s">
        <v>55</v>
      </c>
      <c r="H26" s="36" t="s">
        <v>14</v>
      </c>
      <c r="I26" s="36" t="s">
        <v>49</v>
      </c>
    </row>
    <row r="27" spans="1:9" x14ac:dyDescent="0.25">
      <c r="A27" s="35">
        <v>44686</v>
      </c>
      <c r="B27" s="36" t="s">
        <v>45</v>
      </c>
      <c r="C27" s="36" t="s">
        <v>45</v>
      </c>
      <c r="D27">
        <v>1447.03</v>
      </c>
      <c r="E27" s="36" t="s">
        <v>11</v>
      </c>
      <c r="F27" s="36" t="s">
        <v>56</v>
      </c>
      <c r="G27" s="36" t="s">
        <v>57</v>
      </c>
      <c r="H27" s="36" t="s">
        <v>14</v>
      </c>
      <c r="I27" s="36" t="s">
        <v>41</v>
      </c>
    </row>
    <row r="28" spans="1:9" x14ac:dyDescent="0.25">
      <c r="A28" s="35">
        <v>44686</v>
      </c>
      <c r="B28" s="36" t="s">
        <v>45</v>
      </c>
      <c r="C28" s="36" t="s">
        <v>45</v>
      </c>
      <c r="D28">
        <v>320</v>
      </c>
      <c r="E28" s="36" t="s">
        <v>11</v>
      </c>
      <c r="F28" s="36" t="s">
        <v>12</v>
      </c>
      <c r="G28" s="36" t="s">
        <v>13</v>
      </c>
      <c r="H28" s="36" t="s">
        <v>14</v>
      </c>
      <c r="I28" s="36" t="s">
        <v>49</v>
      </c>
    </row>
    <row r="29" spans="1:9" x14ac:dyDescent="0.25">
      <c r="A29" s="35">
        <v>44691</v>
      </c>
      <c r="B29" s="36" t="s">
        <v>45</v>
      </c>
      <c r="C29" s="36" t="s">
        <v>45</v>
      </c>
      <c r="D29">
        <v>69.900000000000006</v>
      </c>
      <c r="E29" s="36" t="s">
        <v>11</v>
      </c>
      <c r="F29" s="36" t="s">
        <v>58</v>
      </c>
      <c r="G29" s="36" t="s">
        <v>59</v>
      </c>
      <c r="H29" s="36" t="s">
        <v>14</v>
      </c>
      <c r="I29" s="36" t="s">
        <v>49</v>
      </c>
    </row>
    <row r="30" spans="1:9" x14ac:dyDescent="0.25">
      <c r="A30" s="35">
        <v>44691</v>
      </c>
      <c r="B30" s="36" t="s">
        <v>45</v>
      </c>
      <c r="C30" s="36" t="s">
        <v>45</v>
      </c>
      <c r="D30">
        <v>650.49</v>
      </c>
      <c r="E30" s="36" t="s">
        <v>11</v>
      </c>
      <c r="F30" s="36" t="s">
        <v>16</v>
      </c>
      <c r="G30" s="36" t="s">
        <v>19</v>
      </c>
      <c r="H30" s="36" t="s">
        <v>14</v>
      </c>
      <c r="I30" s="36" t="s">
        <v>49</v>
      </c>
    </row>
    <row r="31" spans="1:9" x14ac:dyDescent="0.25">
      <c r="A31" s="35">
        <v>44691</v>
      </c>
      <c r="B31" s="36" t="s">
        <v>45</v>
      </c>
      <c r="C31" s="36" t="s">
        <v>45</v>
      </c>
      <c r="D31">
        <v>520.24</v>
      </c>
      <c r="E31" s="36" t="s">
        <v>11</v>
      </c>
      <c r="F31" s="36" t="s">
        <v>16</v>
      </c>
      <c r="G31" s="36" t="s">
        <v>18</v>
      </c>
      <c r="H31" s="36" t="s">
        <v>14</v>
      </c>
      <c r="I31" s="36" t="s">
        <v>49</v>
      </c>
    </row>
    <row r="32" spans="1:9" x14ac:dyDescent="0.25">
      <c r="A32" s="35">
        <v>44691</v>
      </c>
      <c r="B32" s="36" t="s">
        <v>45</v>
      </c>
      <c r="C32" s="36" t="s">
        <v>45</v>
      </c>
      <c r="D32">
        <v>25.83</v>
      </c>
      <c r="E32" s="36" t="s">
        <v>11</v>
      </c>
      <c r="F32" s="36" t="s">
        <v>16</v>
      </c>
      <c r="G32" s="36" t="s">
        <v>17</v>
      </c>
      <c r="H32" s="36" t="s">
        <v>14</v>
      </c>
      <c r="I32" s="36" t="s">
        <v>49</v>
      </c>
    </row>
    <row r="33" spans="1:9" x14ac:dyDescent="0.25">
      <c r="A33" s="35">
        <v>44696</v>
      </c>
      <c r="B33" s="36" t="s">
        <v>45</v>
      </c>
      <c r="C33" s="36" t="s">
        <v>45</v>
      </c>
      <c r="D33">
        <v>14.9</v>
      </c>
      <c r="E33" s="36" t="s">
        <v>11</v>
      </c>
      <c r="F33" s="36" t="s">
        <v>26</v>
      </c>
      <c r="G33" s="36" t="s">
        <v>60</v>
      </c>
      <c r="H33" s="36" t="s">
        <v>14</v>
      </c>
      <c r="I33" s="36" t="s">
        <v>49</v>
      </c>
    </row>
    <row r="34" spans="1:9" x14ac:dyDescent="0.25">
      <c r="A34" s="35">
        <v>44696</v>
      </c>
      <c r="B34" s="36" t="s">
        <v>45</v>
      </c>
      <c r="C34" s="36" t="s">
        <v>45</v>
      </c>
      <c r="D34">
        <v>99</v>
      </c>
      <c r="E34" s="36" t="s">
        <v>11</v>
      </c>
      <c r="F34" s="36" t="s">
        <v>58</v>
      </c>
      <c r="G34" s="36" t="s">
        <v>61</v>
      </c>
      <c r="H34" s="36" t="s">
        <v>14</v>
      </c>
      <c r="I34" s="36" t="s">
        <v>49</v>
      </c>
    </row>
    <row r="35" spans="1:9" x14ac:dyDescent="0.25">
      <c r="A35" s="35">
        <v>44701</v>
      </c>
      <c r="B35" s="36" t="s">
        <v>45</v>
      </c>
      <c r="C35" s="36" t="s">
        <v>45</v>
      </c>
      <c r="D35">
        <v>363.82</v>
      </c>
      <c r="E35" s="36" t="s">
        <v>11</v>
      </c>
      <c r="F35" s="36" t="s">
        <v>50</v>
      </c>
      <c r="G35" s="36" t="s">
        <v>62</v>
      </c>
      <c r="H35" s="36" t="s">
        <v>14</v>
      </c>
      <c r="I35" s="36" t="s">
        <v>49</v>
      </c>
    </row>
    <row r="36" spans="1:9" x14ac:dyDescent="0.25">
      <c r="A36" s="35">
        <v>44701</v>
      </c>
      <c r="B36" s="36" t="s">
        <v>45</v>
      </c>
      <c r="C36" s="36" t="s">
        <v>45</v>
      </c>
      <c r="D36">
        <v>4633.79</v>
      </c>
      <c r="E36" s="36" t="s">
        <v>52</v>
      </c>
      <c r="F36" s="36" t="s">
        <v>53</v>
      </c>
      <c r="G36" s="36" t="s">
        <v>63</v>
      </c>
      <c r="H36" s="36" t="s">
        <v>14</v>
      </c>
      <c r="I36" s="36" t="s">
        <v>49</v>
      </c>
    </row>
    <row r="37" spans="1:9" x14ac:dyDescent="0.25">
      <c r="A37" s="35">
        <v>44702</v>
      </c>
      <c r="B37" s="36" t="s">
        <v>45</v>
      </c>
      <c r="C37" s="36" t="s">
        <v>45</v>
      </c>
      <c r="D37">
        <v>95.14</v>
      </c>
      <c r="E37" s="36" t="s">
        <v>11</v>
      </c>
      <c r="F37" s="36" t="s">
        <v>42</v>
      </c>
      <c r="G37" s="36" t="s">
        <v>44</v>
      </c>
      <c r="H37" s="36" t="s">
        <v>14</v>
      </c>
      <c r="I37" s="36" t="s">
        <v>49</v>
      </c>
    </row>
    <row r="38" spans="1:9" x14ac:dyDescent="0.25">
      <c r="A38" s="35">
        <v>44702</v>
      </c>
      <c r="B38" s="36" t="s">
        <v>45</v>
      </c>
      <c r="C38" s="36" t="s">
        <v>45</v>
      </c>
      <c r="D38">
        <v>206.52</v>
      </c>
      <c r="E38" s="36" t="s">
        <v>11</v>
      </c>
      <c r="F38" s="36" t="s">
        <v>42</v>
      </c>
      <c r="G38" s="36" t="s">
        <v>43</v>
      </c>
      <c r="H38" s="36" t="s">
        <v>14</v>
      </c>
      <c r="I38" s="36" t="s">
        <v>49</v>
      </c>
    </row>
    <row r="39" spans="1:9" x14ac:dyDescent="0.25">
      <c r="A39" s="35">
        <v>44704</v>
      </c>
      <c r="B39" s="36" t="s">
        <v>45</v>
      </c>
      <c r="C39" s="36" t="s">
        <v>45</v>
      </c>
      <c r="D39">
        <v>40</v>
      </c>
      <c r="E39" s="36" t="s">
        <v>11</v>
      </c>
      <c r="F39" s="36" t="s">
        <v>32</v>
      </c>
      <c r="G39" s="36" t="s">
        <v>64</v>
      </c>
      <c r="H39" s="36" t="s">
        <v>25</v>
      </c>
      <c r="I39" s="36" t="s">
        <v>41</v>
      </c>
    </row>
    <row r="40" spans="1:9" x14ac:dyDescent="0.25">
      <c r="A40" s="35">
        <v>44704</v>
      </c>
      <c r="B40" s="36" t="s">
        <v>45</v>
      </c>
      <c r="C40" s="36" t="s">
        <v>45</v>
      </c>
      <c r="D40">
        <v>110</v>
      </c>
      <c r="E40" s="36" t="s">
        <v>11</v>
      </c>
      <c r="F40" s="36" t="s">
        <v>37</v>
      </c>
      <c r="G40" s="36" t="s">
        <v>65</v>
      </c>
      <c r="H40" s="36" t="s">
        <v>25</v>
      </c>
      <c r="I40" s="36" t="s">
        <v>41</v>
      </c>
    </row>
    <row r="41" spans="1:9" x14ac:dyDescent="0.25">
      <c r="A41" s="35">
        <v>44704</v>
      </c>
      <c r="B41" s="36" t="s">
        <v>45</v>
      </c>
      <c r="C41" s="36" t="s">
        <v>45</v>
      </c>
      <c r="D41">
        <v>30.22</v>
      </c>
      <c r="E41" s="36" t="s">
        <v>11</v>
      </c>
      <c r="F41" s="36" t="s">
        <v>20</v>
      </c>
      <c r="G41" s="36" t="s">
        <v>31</v>
      </c>
      <c r="H41" s="36" t="s">
        <v>25</v>
      </c>
      <c r="I41" s="36" t="s">
        <v>41</v>
      </c>
    </row>
    <row r="42" spans="1:9" x14ac:dyDescent="0.25">
      <c r="A42" s="35">
        <v>44704</v>
      </c>
      <c r="B42" s="36" t="s">
        <v>45</v>
      </c>
      <c r="C42" s="36" t="s">
        <v>45</v>
      </c>
      <c r="D42">
        <v>100</v>
      </c>
      <c r="E42" s="36" t="s">
        <v>11</v>
      </c>
      <c r="F42" s="36" t="s">
        <v>37</v>
      </c>
      <c r="G42" s="36" t="s">
        <v>38</v>
      </c>
      <c r="H42" s="36" t="s">
        <v>36</v>
      </c>
      <c r="I42" s="36" t="s">
        <v>49</v>
      </c>
    </row>
    <row r="43" spans="1:9" x14ac:dyDescent="0.25">
      <c r="A43" s="35">
        <v>44704</v>
      </c>
      <c r="B43" s="36" t="s">
        <v>45</v>
      </c>
      <c r="C43" s="36" t="s">
        <v>45</v>
      </c>
      <c r="D43">
        <v>9.9</v>
      </c>
      <c r="E43" s="36" t="s">
        <v>11</v>
      </c>
      <c r="F43" s="36" t="s">
        <v>28</v>
      </c>
      <c r="G43" s="36" t="s">
        <v>30</v>
      </c>
      <c r="H43" s="36" t="s">
        <v>25</v>
      </c>
      <c r="I43" s="36" t="s">
        <v>41</v>
      </c>
    </row>
    <row r="44" spans="1:9" x14ac:dyDescent="0.25">
      <c r="A44" s="35">
        <v>44704</v>
      </c>
      <c r="B44" s="36" t="s">
        <v>45</v>
      </c>
      <c r="C44" s="36" t="s">
        <v>45</v>
      </c>
      <c r="D44">
        <v>8.9</v>
      </c>
      <c r="E44" s="36" t="s">
        <v>11</v>
      </c>
      <c r="F44" s="36" t="s">
        <v>28</v>
      </c>
      <c r="G44" s="36" t="s">
        <v>29</v>
      </c>
      <c r="H44" s="36" t="s">
        <v>25</v>
      </c>
      <c r="I44" s="36" t="s">
        <v>41</v>
      </c>
    </row>
    <row r="45" spans="1:9" x14ac:dyDescent="0.25">
      <c r="A45" s="35">
        <v>44704</v>
      </c>
      <c r="B45" s="36" t="s">
        <v>45</v>
      </c>
      <c r="C45" s="36" t="s">
        <v>45</v>
      </c>
      <c r="D45">
        <v>48.22</v>
      </c>
      <c r="E45" s="36" t="s">
        <v>11</v>
      </c>
      <c r="F45" s="36" t="s">
        <v>23</v>
      </c>
      <c r="G45" s="36" t="s">
        <v>24</v>
      </c>
      <c r="H45" s="36" t="s">
        <v>25</v>
      </c>
      <c r="I45" s="36" t="s">
        <v>41</v>
      </c>
    </row>
    <row r="46" spans="1:9" x14ac:dyDescent="0.25">
      <c r="A46" s="35">
        <v>44706</v>
      </c>
      <c r="B46" s="36" t="s">
        <v>45</v>
      </c>
      <c r="C46" s="36" t="s">
        <v>45</v>
      </c>
      <c r="D46">
        <v>30.24</v>
      </c>
      <c r="E46" s="36" t="s">
        <v>11</v>
      </c>
      <c r="F46" s="36" t="s">
        <v>39</v>
      </c>
      <c r="G46" s="36" t="s">
        <v>40</v>
      </c>
      <c r="H46" s="36" t="s">
        <v>14</v>
      </c>
      <c r="I46" s="36" t="s">
        <v>49</v>
      </c>
    </row>
    <row r="47" spans="1:9" x14ac:dyDescent="0.25">
      <c r="A47" s="35">
        <v>44714</v>
      </c>
      <c r="B47" s="36" t="s">
        <v>66</v>
      </c>
      <c r="C47" s="36" t="s">
        <v>66</v>
      </c>
      <c r="D47">
        <v>80</v>
      </c>
      <c r="E47" s="36" t="s">
        <v>11</v>
      </c>
      <c r="F47" s="36" t="s">
        <v>39</v>
      </c>
      <c r="G47" s="36" t="s">
        <v>46</v>
      </c>
      <c r="H47" s="36" t="s">
        <v>14</v>
      </c>
      <c r="I47" s="36" t="s">
        <v>49</v>
      </c>
    </row>
    <row r="48" spans="1:9" x14ac:dyDescent="0.25">
      <c r="A48" s="35">
        <v>44717</v>
      </c>
      <c r="B48" s="36" t="s">
        <v>66</v>
      </c>
      <c r="C48" s="36" t="s">
        <v>66</v>
      </c>
      <c r="D48">
        <v>1000</v>
      </c>
      <c r="E48" s="36" t="s">
        <v>11</v>
      </c>
      <c r="F48" s="36" t="s">
        <v>37</v>
      </c>
      <c r="G48" s="36" t="s">
        <v>67</v>
      </c>
      <c r="H48" s="36" t="s">
        <v>14</v>
      </c>
      <c r="I48" s="36" t="s">
        <v>49</v>
      </c>
    </row>
    <row r="49" spans="1:9" x14ac:dyDescent="0.25">
      <c r="A49" s="35">
        <v>44717</v>
      </c>
      <c r="B49" s="36" t="s">
        <v>66</v>
      </c>
      <c r="C49" s="36" t="s">
        <v>66</v>
      </c>
      <c r="D49">
        <v>1447.03</v>
      </c>
      <c r="E49" s="36" t="s">
        <v>11</v>
      </c>
      <c r="F49" s="36" t="s">
        <v>56</v>
      </c>
      <c r="G49" s="36" t="s">
        <v>57</v>
      </c>
      <c r="H49" s="36" t="s">
        <v>14</v>
      </c>
      <c r="I49" s="36" t="s">
        <v>41</v>
      </c>
    </row>
    <row r="50" spans="1:9" x14ac:dyDescent="0.25">
      <c r="A50" s="35">
        <v>44717</v>
      </c>
      <c r="B50" s="36" t="s">
        <v>66</v>
      </c>
      <c r="C50" s="36" t="s">
        <v>66</v>
      </c>
      <c r="D50">
        <v>350</v>
      </c>
      <c r="E50" s="36" t="s">
        <v>11</v>
      </c>
      <c r="F50" s="36" t="s">
        <v>55</v>
      </c>
      <c r="G50" s="36" t="s">
        <v>55</v>
      </c>
      <c r="H50" s="36" t="s">
        <v>14</v>
      </c>
      <c r="I50" s="36" t="s">
        <v>49</v>
      </c>
    </row>
    <row r="51" spans="1:9" x14ac:dyDescent="0.25">
      <c r="A51" s="35">
        <v>44717</v>
      </c>
      <c r="B51" s="36" t="s">
        <v>66</v>
      </c>
      <c r="C51" s="36" t="s">
        <v>66</v>
      </c>
      <c r="D51">
        <v>4134.37</v>
      </c>
      <c r="E51" s="36" t="s">
        <v>52</v>
      </c>
      <c r="F51" s="36" t="s">
        <v>53</v>
      </c>
      <c r="G51" s="36" t="s">
        <v>54</v>
      </c>
      <c r="H51" s="36" t="s">
        <v>14</v>
      </c>
      <c r="I51" s="36" t="s">
        <v>49</v>
      </c>
    </row>
    <row r="52" spans="1:9" x14ac:dyDescent="0.25">
      <c r="A52" s="35">
        <v>44717</v>
      </c>
      <c r="B52" s="36" t="s">
        <v>66</v>
      </c>
      <c r="C52" s="36" t="s">
        <v>66</v>
      </c>
      <c r="D52">
        <v>294.10000000000002</v>
      </c>
      <c r="E52" s="36" t="s">
        <v>11</v>
      </c>
      <c r="F52" s="36" t="s">
        <v>50</v>
      </c>
      <c r="G52" s="36" t="s">
        <v>51</v>
      </c>
      <c r="H52" s="36" t="s">
        <v>14</v>
      </c>
      <c r="I52" s="36" t="s">
        <v>49</v>
      </c>
    </row>
    <row r="53" spans="1:9" x14ac:dyDescent="0.25">
      <c r="A53" s="35">
        <v>44717</v>
      </c>
      <c r="B53" s="36" t="s">
        <v>66</v>
      </c>
      <c r="C53" s="36" t="s">
        <v>66</v>
      </c>
      <c r="D53">
        <v>7.97</v>
      </c>
      <c r="E53" s="36" t="s">
        <v>11</v>
      </c>
      <c r="F53" s="36" t="s">
        <v>47</v>
      </c>
      <c r="G53" s="36" t="s">
        <v>48</v>
      </c>
      <c r="H53" s="36" t="s">
        <v>14</v>
      </c>
      <c r="I53" s="36" t="s">
        <v>49</v>
      </c>
    </row>
    <row r="54" spans="1:9" x14ac:dyDescent="0.25">
      <c r="A54" s="35">
        <v>44717</v>
      </c>
      <c r="B54" s="36" t="s">
        <v>66</v>
      </c>
      <c r="C54" s="36" t="s">
        <v>66</v>
      </c>
      <c r="D54">
        <v>320</v>
      </c>
      <c r="E54" s="36" t="s">
        <v>11</v>
      </c>
      <c r="F54" s="36" t="s">
        <v>12</v>
      </c>
      <c r="G54" s="36" t="s">
        <v>13</v>
      </c>
      <c r="H54" s="36" t="s">
        <v>14</v>
      </c>
      <c r="I54" s="36" t="s">
        <v>49</v>
      </c>
    </row>
    <row r="55" spans="1:9" x14ac:dyDescent="0.25">
      <c r="A55" s="35">
        <v>44722</v>
      </c>
      <c r="B55" s="36" t="s">
        <v>66</v>
      </c>
      <c r="C55" s="36" t="s">
        <v>66</v>
      </c>
      <c r="D55">
        <v>69.900000000000006</v>
      </c>
      <c r="E55" s="36" t="s">
        <v>11</v>
      </c>
      <c r="F55" s="36" t="s">
        <v>58</v>
      </c>
      <c r="G55" s="36" t="s">
        <v>59</v>
      </c>
      <c r="H55" s="36" t="s">
        <v>14</v>
      </c>
      <c r="I55" s="36" t="s">
        <v>49</v>
      </c>
    </row>
    <row r="56" spans="1:9" x14ac:dyDescent="0.25">
      <c r="A56" s="35">
        <v>44722</v>
      </c>
      <c r="B56" s="36" t="s">
        <v>66</v>
      </c>
      <c r="C56" s="36" t="s">
        <v>66</v>
      </c>
      <c r="D56">
        <v>650.49</v>
      </c>
      <c r="E56" s="36" t="s">
        <v>11</v>
      </c>
      <c r="F56" s="36" t="s">
        <v>16</v>
      </c>
      <c r="G56" s="36" t="s">
        <v>19</v>
      </c>
      <c r="H56" s="36" t="s">
        <v>14</v>
      </c>
      <c r="I56" s="36" t="s">
        <v>49</v>
      </c>
    </row>
    <row r="57" spans="1:9" x14ac:dyDescent="0.25">
      <c r="A57" s="35">
        <v>44722</v>
      </c>
      <c r="B57" s="36" t="s">
        <v>66</v>
      </c>
      <c r="C57" s="36" t="s">
        <v>66</v>
      </c>
      <c r="D57">
        <v>520.24</v>
      </c>
      <c r="E57" s="36" t="s">
        <v>11</v>
      </c>
      <c r="F57" s="36" t="s">
        <v>16</v>
      </c>
      <c r="G57" s="36" t="s">
        <v>18</v>
      </c>
      <c r="H57" s="36" t="s">
        <v>14</v>
      </c>
      <c r="I57" s="36" t="s">
        <v>49</v>
      </c>
    </row>
    <row r="58" spans="1:9" x14ac:dyDescent="0.25">
      <c r="A58" s="35">
        <v>44722</v>
      </c>
      <c r="B58" s="36" t="s">
        <v>66</v>
      </c>
      <c r="C58" s="36" t="s">
        <v>66</v>
      </c>
      <c r="D58">
        <v>25.83</v>
      </c>
      <c r="E58" s="36" t="s">
        <v>11</v>
      </c>
      <c r="F58" s="36" t="s">
        <v>16</v>
      </c>
      <c r="G58" s="36" t="s">
        <v>17</v>
      </c>
      <c r="H58" s="36" t="s">
        <v>14</v>
      </c>
      <c r="I58" s="36" t="s">
        <v>49</v>
      </c>
    </row>
    <row r="59" spans="1:9" x14ac:dyDescent="0.25">
      <c r="A59" s="35">
        <v>44727</v>
      </c>
      <c r="B59" s="36" t="s">
        <v>66</v>
      </c>
      <c r="C59" s="36" t="s">
        <v>66</v>
      </c>
      <c r="D59">
        <v>99</v>
      </c>
      <c r="E59" s="36" t="s">
        <v>11</v>
      </c>
      <c r="F59" s="36" t="s">
        <v>58</v>
      </c>
      <c r="G59" s="36" t="s">
        <v>61</v>
      </c>
      <c r="H59" s="36" t="s">
        <v>14</v>
      </c>
      <c r="I59" s="36" t="s">
        <v>49</v>
      </c>
    </row>
    <row r="60" spans="1:9" x14ac:dyDescent="0.25">
      <c r="A60" s="35">
        <v>44727</v>
      </c>
      <c r="B60" s="36" t="s">
        <v>66</v>
      </c>
      <c r="C60" s="36" t="s">
        <v>66</v>
      </c>
      <c r="D60">
        <v>14.9</v>
      </c>
      <c r="E60" s="36" t="s">
        <v>11</v>
      </c>
      <c r="F60" s="36" t="s">
        <v>26</v>
      </c>
      <c r="G60" s="36" t="s">
        <v>60</v>
      </c>
      <c r="H60" s="36" t="s">
        <v>14</v>
      </c>
      <c r="I60" s="36" t="s">
        <v>49</v>
      </c>
    </row>
    <row r="61" spans="1:9" x14ac:dyDescent="0.25">
      <c r="A61" s="35">
        <v>44732</v>
      </c>
      <c r="B61" s="36" t="s">
        <v>66</v>
      </c>
      <c r="C61" s="36" t="s">
        <v>66</v>
      </c>
      <c r="D61">
        <v>4633.79</v>
      </c>
      <c r="E61" s="36" t="s">
        <v>52</v>
      </c>
      <c r="F61" s="36" t="s">
        <v>53</v>
      </c>
      <c r="G61" s="36" t="s">
        <v>63</v>
      </c>
      <c r="H61" s="36" t="s">
        <v>14</v>
      </c>
      <c r="I61" s="36" t="s">
        <v>49</v>
      </c>
    </row>
    <row r="62" spans="1:9" x14ac:dyDescent="0.25">
      <c r="A62" s="35">
        <v>44732</v>
      </c>
      <c r="B62" s="36" t="s">
        <v>66</v>
      </c>
      <c r="C62" s="36" t="s">
        <v>66</v>
      </c>
      <c r="D62">
        <v>363.82</v>
      </c>
      <c r="E62" s="36" t="s">
        <v>11</v>
      </c>
      <c r="F62" s="36" t="s">
        <v>50</v>
      </c>
      <c r="G62" s="36" t="s">
        <v>62</v>
      </c>
      <c r="H62" s="36" t="s">
        <v>14</v>
      </c>
      <c r="I62" s="36" t="s">
        <v>49</v>
      </c>
    </row>
    <row r="63" spans="1:9" x14ac:dyDescent="0.25">
      <c r="A63" s="35">
        <v>44733</v>
      </c>
      <c r="B63" s="36" t="s">
        <v>66</v>
      </c>
      <c r="C63" s="36" t="s">
        <v>66</v>
      </c>
      <c r="D63">
        <v>95.14</v>
      </c>
      <c r="E63" s="36" t="s">
        <v>11</v>
      </c>
      <c r="F63" s="36" t="s">
        <v>42</v>
      </c>
      <c r="G63" s="36" t="s">
        <v>44</v>
      </c>
      <c r="H63" s="36" t="s">
        <v>14</v>
      </c>
      <c r="I63" s="36" t="s">
        <v>49</v>
      </c>
    </row>
    <row r="64" spans="1:9" x14ac:dyDescent="0.25">
      <c r="A64" s="35">
        <v>44733</v>
      </c>
      <c r="B64" s="36" t="s">
        <v>66</v>
      </c>
      <c r="C64" s="36" t="s">
        <v>66</v>
      </c>
      <c r="D64">
        <v>206.52</v>
      </c>
      <c r="E64" s="36" t="s">
        <v>11</v>
      </c>
      <c r="F64" s="36" t="s">
        <v>42</v>
      </c>
      <c r="G64" s="36" t="s">
        <v>43</v>
      </c>
      <c r="H64" s="36" t="s">
        <v>14</v>
      </c>
      <c r="I64" s="36" t="s">
        <v>49</v>
      </c>
    </row>
    <row r="65" spans="1:9" x14ac:dyDescent="0.25">
      <c r="A65" s="35">
        <v>44735</v>
      </c>
      <c r="B65" s="36" t="s">
        <v>66</v>
      </c>
      <c r="C65" s="36" t="s">
        <v>66</v>
      </c>
      <c r="D65">
        <v>48.22</v>
      </c>
      <c r="E65" s="36" t="s">
        <v>11</v>
      </c>
      <c r="F65" s="36" t="s">
        <v>23</v>
      </c>
      <c r="G65" s="36" t="s">
        <v>24</v>
      </c>
      <c r="H65" s="36" t="s">
        <v>25</v>
      </c>
      <c r="I65" s="36" t="s">
        <v>41</v>
      </c>
    </row>
    <row r="66" spans="1:9" x14ac:dyDescent="0.25">
      <c r="A66" s="35">
        <v>44735</v>
      </c>
      <c r="B66" s="36" t="s">
        <v>66</v>
      </c>
      <c r="C66" s="36" t="s">
        <v>66</v>
      </c>
      <c r="D66">
        <v>100</v>
      </c>
      <c r="E66" s="36" t="s">
        <v>11</v>
      </c>
      <c r="F66" s="36" t="s">
        <v>37</v>
      </c>
      <c r="G66" s="36" t="s">
        <v>38</v>
      </c>
      <c r="H66" s="36" t="s">
        <v>36</v>
      </c>
      <c r="I66" s="36" t="s">
        <v>49</v>
      </c>
    </row>
    <row r="67" spans="1:9" x14ac:dyDescent="0.25">
      <c r="A67" s="35">
        <v>44735</v>
      </c>
      <c r="B67" s="36" t="s">
        <v>66</v>
      </c>
      <c r="C67" s="36" t="s">
        <v>66</v>
      </c>
      <c r="D67">
        <v>9.9</v>
      </c>
      <c r="E67" s="36" t="s">
        <v>11</v>
      </c>
      <c r="F67" s="36" t="s">
        <v>28</v>
      </c>
      <c r="G67" s="36" t="s">
        <v>30</v>
      </c>
      <c r="H67" s="36" t="s">
        <v>25</v>
      </c>
      <c r="I67" s="36" t="s">
        <v>41</v>
      </c>
    </row>
    <row r="68" spans="1:9" x14ac:dyDescent="0.25">
      <c r="A68" s="35">
        <v>44735</v>
      </c>
      <c r="B68" s="36" t="s">
        <v>66</v>
      </c>
      <c r="C68" s="36" t="s">
        <v>66</v>
      </c>
      <c r="D68">
        <v>8.9</v>
      </c>
      <c r="E68" s="36" t="s">
        <v>11</v>
      </c>
      <c r="F68" s="36" t="s">
        <v>28</v>
      </c>
      <c r="G68" s="36" t="s">
        <v>29</v>
      </c>
      <c r="H68" s="36" t="s">
        <v>25</v>
      </c>
      <c r="I68" s="36" t="s">
        <v>41</v>
      </c>
    </row>
    <row r="69" spans="1:9" x14ac:dyDescent="0.25">
      <c r="A69" s="35">
        <v>44737</v>
      </c>
      <c r="B69" s="36" t="s">
        <v>66</v>
      </c>
      <c r="C69" s="36" t="s">
        <v>66</v>
      </c>
      <c r="D69">
        <v>30.24</v>
      </c>
      <c r="E69" s="36" t="s">
        <v>11</v>
      </c>
      <c r="F69" s="36" t="s">
        <v>39</v>
      </c>
      <c r="G69" s="36" t="s">
        <v>40</v>
      </c>
      <c r="H69" s="36" t="s">
        <v>14</v>
      </c>
      <c r="I69" s="36" t="s">
        <v>49</v>
      </c>
    </row>
    <row r="70" spans="1:9" x14ac:dyDescent="0.25">
      <c r="A70" s="35">
        <v>44747</v>
      </c>
      <c r="B70" s="36" t="s">
        <v>68</v>
      </c>
      <c r="C70" s="36" t="s">
        <v>68</v>
      </c>
      <c r="D70">
        <v>1447.03</v>
      </c>
      <c r="E70" s="36" t="s">
        <v>11</v>
      </c>
      <c r="F70" s="36" t="s">
        <v>56</v>
      </c>
      <c r="G70" s="36" t="s">
        <v>57</v>
      </c>
      <c r="H70" s="36" t="s">
        <v>14</v>
      </c>
      <c r="I70" s="36" t="s">
        <v>41</v>
      </c>
    </row>
    <row r="71" spans="1:9" x14ac:dyDescent="0.25">
      <c r="A71" s="35">
        <v>44747</v>
      </c>
      <c r="B71" s="36" t="s">
        <v>68</v>
      </c>
      <c r="C71" s="36" t="s">
        <v>68</v>
      </c>
      <c r="D71">
        <v>350</v>
      </c>
      <c r="E71" s="36" t="s">
        <v>11</v>
      </c>
      <c r="F71" s="36" t="s">
        <v>55</v>
      </c>
      <c r="G71" s="36" t="s">
        <v>55</v>
      </c>
      <c r="H71" s="36" t="s">
        <v>14</v>
      </c>
      <c r="I71" s="36" t="s">
        <v>49</v>
      </c>
    </row>
    <row r="72" spans="1:9" x14ac:dyDescent="0.25">
      <c r="A72" s="35">
        <v>44747</v>
      </c>
      <c r="B72" s="36" t="s">
        <v>68</v>
      </c>
      <c r="C72" s="36" t="s">
        <v>68</v>
      </c>
      <c r="D72">
        <v>4134.37</v>
      </c>
      <c r="E72" s="36" t="s">
        <v>52</v>
      </c>
      <c r="F72" s="36" t="s">
        <v>53</v>
      </c>
      <c r="G72" s="36" t="s">
        <v>54</v>
      </c>
      <c r="H72" s="36" t="s">
        <v>14</v>
      </c>
      <c r="I72" s="36" t="s">
        <v>49</v>
      </c>
    </row>
    <row r="73" spans="1:9" x14ac:dyDescent="0.25">
      <c r="A73" s="35">
        <v>44747</v>
      </c>
      <c r="B73" s="36" t="s">
        <v>68</v>
      </c>
      <c r="C73" s="36" t="s">
        <v>68</v>
      </c>
      <c r="D73">
        <v>294.10000000000002</v>
      </c>
      <c r="E73" s="36" t="s">
        <v>11</v>
      </c>
      <c r="F73" s="36" t="s">
        <v>50</v>
      </c>
      <c r="G73" s="36" t="s">
        <v>51</v>
      </c>
      <c r="H73" s="36" t="s">
        <v>14</v>
      </c>
      <c r="I73" s="36" t="s">
        <v>49</v>
      </c>
    </row>
    <row r="74" spans="1:9" x14ac:dyDescent="0.25">
      <c r="A74" s="35">
        <v>44747</v>
      </c>
      <c r="B74" s="36" t="s">
        <v>68</v>
      </c>
      <c r="C74" s="36" t="s">
        <v>68</v>
      </c>
      <c r="D74">
        <v>7.97</v>
      </c>
      <c r="E74" s="36" t="s">
        <v>11</v>
      </c>
      <c r="F74" s="36" t="s">
        <v>47</v>
      </c>
      <c r="G74" s="36" t="s">
        <v>48</v>
      </c>
      <c r="H74" s="36" t="s">
        <v>14</v>
      </c>
      <c r="I74" s="36" t="s">
        <v>49</v>
      </c>
    </row>
    <row r="75" spans="1:9" x14ac:dyDescent="0.25">
      <c r="A75" s="35">
        <v>44747</v>
      </c>
      <c r="B75" s="36" t="s">
        <v>68</v>
      </c>
      <c r="C75" s="36" t="s">
        <v>68</v>
      </c>
      <c r="D75">
        <v>320</v>
      </c>
      <c r="E75" s="36" t="s">
        <v>11</v>
      </c>
      <c r="F75" s="36" t="s">
        <v>12</v>
      </c>
      <c r="G75" s="36" t="s">
        <v>13</v>
      </c>
      <c r="H75" s="36" t="s">
        <v>14</v>
      </c>
      <c r="I75" s="36" t="s">
        <v>49</v>
      </c>
    </row>
    <row r="76" spans="1:9" x14ac:dyDescent="0.25">
      <c r="A76" s="35">
        <v>44752</v>
      </c>
      <c r="B76" s="36" t="s">
        <v>68</v>
      </c>
      <c r="C76" s="36" t="s">
        <v>68</v>
      </c>
      <c r="D76">
        <v>69.900000000000006</v>
      </c>
      <c r="E76" s="36" t="s">
        <v>11</v>
      </c>
      <c r="F76" s="36" t="s">
        <v>58</v>
      </c>
      <c r="G76" s="36" t="s">
        <v>59</v>
      </c>
      <c r="H76" s="36" t="s">
        <v>14</v>
      </c>
      <c r="I76" s="36" t="s">
        <v>49</v>
      </c>
    </row>
    <row r="77" spans="1:9" x14ac:dyDescent="0.25">
      <c r="A77" s="35">
        <v>44752</v>
      </c>
      <c r="B77" s="36" t="s">
        <v>68</v>
      </c>
      <c r="C77" s="36" t="s">
        <v>68</v>
      </c>
      <c r="D77">
        <v>650.49</v>
      </c>
      <c r="E77" s="36" t="s">
        <v>11</v>
      </c>
      <c r="F77" s="36" t="s">
        <v>16</v>
      </c>
      <c r="G77" s="36" t="s">
        <v>19</v>
      </c>
      <c r="H77" s="36" t="s">
        <v>14</v>
      </c>
      <c r="I77" s="36" t="s">
        <v>49</v>
      </c>
    </row>
    <row r="78" spans="1:9" x14ac:dyDescent="0.25">
      <c r="A78" s="35">
        <v>44752</v>
      </c>
      <c r="B78" s="36" t="s">
        <v>68</v>
      </c>
      <c r="C78" s="36" t="s">
        <v>68</v>
      </c>
      <c r="D78">
        <v>520.24</v>
      </c>
      <c r="E78" s="36" t="s">
        <v>11</v>
      </c>
      <c r="F78" s="36" t="s">
        <v>16</v>
      </c>
      <c r="G78" s="36" t="s">
        <v>18</v>
      </c>
      <c r="H78" s="36" t="s">
        <v>14</v>
      </c>
      <c r="I78" s="36" t="s">
        <v>49</v>
      </c>
    </row>
    <row r="79" spans="1:9" x14ac:dyDescent="0.25">
      <c r="A79" s="35">
        <v>44752</v>
      </c>
      <c r="B79" s="36" t="s">
        <v>68</v>
      </c>
      <c r="C79" s="36" t="s">
        <v>68</v>
      </c>
      <c r="D79">
        <v>25.83</v>
      </c>
      <c r="E79" s="36" t="s">
        <v>11</v>
      </c>
      <c r="F79" s="36" t="s">
        <v>16</v>
      </c>
      <c r="G79" s="36" t="s">
        <v>17</v>
      </c>
      <c r="H79" s="36" t="s">
        <v>14</v>
      </c>
      <c r="I79" s="36" t="s">
        <v>49</v>
      </c>
    </row>
    <row r="80" spans="1:9" x14ac:dyDescent="0.25">
      <c r="A80" s="35">
        <v>44757</v>
      </c>
      <c r="B80" s="36" t="s">
        <v>68</v>
      </c>
      <c r="C80" s="36" t="s">
        <v>68</v>
      </c>
      <c r="D80">
        <v>99</v>
      </c>
      <c r="E80" s="36" t="s">
        <v>11</v>
      </c>
      <c r="F80" s="36" t="s">
        <v>58</v>
      </c>
      <c r="G80" s="36" t="s">
        <v>61</v>
      </c>
      <c r="H80" s="36" t="s">
        <v>14</v>
      </c>
      <c r="I80" s="36" t="s">
        <v>49</v>
      </c>
    </row>
    <row r="81" spans="1:9" x14ac:dyDescent="0.25">
      <c r="A81" s="35">
        <v>44757</v>
      </c>
      <c r="B81" s="36" t="s">
        <v>68</v>
      </c>
      <c r="C81" s="36" t="s">
        <v>68</v>
      </c>
      <c r="D81">
        <v>14.9</v>
      </c>
      <c r="E81" s="36" t="s">
        <v>11</v>
      </c>
      <c r="F81" s="36" t="s">
        <v>26</v>
      </c>
      <c r="G81" s="36" t="s">
        <v>60</v>
      </c>
      <c r="H81" s="36" t="s">
        <v>14</v>
      </c>
      <c r="I81" s="36" t="s">
        <v>49</v>
      </c>
    </row>
    <row r="82" spans="1:9" x14ac:dyDescent="0.25">
      <c r="A82" s="35">
        <v>44762</v>
      </c>
      <c r="B82" s="36" t="s">
        <v>68</v>
      </c>
      <c r="C82" s="36" t="s">
        <v>68</v>
      </c>
      <c r="D82">
        <v>4633.79</v>
      </c>
      <c r="E82" s="36" t="s">
        <v>52</v>
      </c>
      <c r="F82" s="36" t="s">
        <v>53</v>
      </c>
      <c r="G82" s="36" t="s">
        <v>63</v>
      </c>
      <c r="H82" s="36" t="s">
        <v>14</v>
      </c>
      <c r="I82" s="36" t="s">
        <v>49</v>
      </c>
    </row>
    <row r="83" spans="1:9" x14ac:dyDescent="0.25">
      <c r="A83" s="35">
        <v>44762</v>
      </c>
      <c r="B83" s="36" t="s">
        <v>68</v>
      </c>
      <c r="C83" s="36" t="s">
        <v>68</v>
      </c>
      <c r="D83">
        <v>363.82</v>
      </c>
      <c r="E83" s="36" t="s">
        <v>11</v>
      </c>
      <c r="F83" s="36" t="s">
        <v>50</v>
      </c>
      <c r="G83" s="36" t="s">
        <v>62</v>
      </c>
      <c r="H83" s="36" t="s">
        <v>14</v>
      </c>
      <c r="I83" s="36" t="s">
        <v>49</v>
      </c>
    </row>
    <row r="84" spans="1:9" x14ac:dyDescent="0.25">
      <c r="A84" s="35">
        <v>44763</v>
      </c>
      <c r="B84" s="36" t="s">
        <v>68</v>
      </c>
      <c r="C84" s="36" t="s">
        <v>68</v>
      </c>
      <c r="D84">
        <v>95.14</v>
      </c>
      <c r="E84" s="36" t="s">
        <v>11</v>
      </c>
      <c r="F84" s="36" t="s">
        <v>42</v>
      </c>
      <c r="G84" s="36" t="s">
        <v>44</v>
      </c>
      <c r="H84" s="36" t="s">
        <v>14</v>
      </c>
      <c r="I84" s="36" t="s">
        <v>49</v>
      </c>
    </row>
    <row r="85" spans="1:9" x14ac:dyDescent="0.25">
      <c r="A85" s="35">
        <v>44763</v>
      </c>
      <c r="B85" s="36" t="s">
        <v>68</v>
      </c>
      <c r="C85" s="36" t="s">
        <v>68</v>
      </c>
      <c r="D85">
        <v>206.52</v>
      </c>
      <c r="E85" s="36" t="s">
        <v>11</v>
      </c>
      <c r="F85" s="36" t="s">
        <v>42</v>
      </c>
      <c r="G85" s="36" t="s">
        <v>43</v>
      </c>
      <c r="H85" s="36" t="s">
        <v>14</v>
      </c>
      <c r="I85" s="36" t="s">
        <v>49</v>
      </c>
    </row>
    <row r="86" spans="1:9" x14ac:dyDescent="0.25">
      <c r="A86" s="35">
        <v>44764</v>
      </c>
      <c r="B86" s="36" t="s">
        <v>68</v>
      </c>
      <c r="C86" s="36" t="s">
        <v>68</v>
      </c>
      <c r="D86">
        <v>80</v>
      </c>
      <c r="E86" s="36" t="s">
        <v>11</v>
      </c>
      <c r="F86" s="36" t="s">
        <v>39</v>
      </c>
      <c r="G86" s="36" t="s">
        <v>46</v>
      </c>
      <c r="H86" s="36" t="s">
        <v>14</v>
      </c>
      <c r="I86" s="36" t="s">
        <v>49</v>
      </c>
    </row>
    <row r="87" spans="1:9" x14ac:dyDescent="0.25">
      <c r="A87" s="35">
        <v>44765</v>
      </c>
      <c r="B87" s="36" t="s">
        <v>68</v>
      </c>
      <c r="C87" s="36" t="s">
        <v>68</v>
      </c>
      <c r="D87">
        <v>100</v>
      </c>
      <c r="E87" s="36" t="s">
        <v>11</v>
      </c>
      <c r="F87" s="36" t="s">
        <v>37</v>
      </c>
      <c r="G87" s="36" t="s">
        <v>38</v>
      </c>
      <c r="H87" s="36" t="s">
        <v>36</v>
      </c>
      <c r="I87" s="36" t="s">
        <v>49</v>
      </c>
    </row>
    <row r="88" spans="1:9" x14ac:dyDescent="0.25">
      <c r="A88" s="35">
        <v>44765</v>
      </c>
      <c r="B88" s="36" t="s">
        <v>68</v>
      </c>
      <c r="C88" s="36" t="s">
        <v>68</v>
      </c>
      <c r="D88">
        <v>9.9</v>
      </c>
      <c r="E88" s="36" t="s">
        <v>11</v>
      </c>
      <c r="F88" s="36" t="s">
        <v>28</v>
      </c>
      <c r="G88" s="36" t="s">
        <v>30</v>
      </c>
      <c r="H88" s="36" t="s">
        <v>25</v>
      </c>
      <c r="I88" s="36" t="s">
        <v>41</v>
      </c>
    </row>
    <row r="89" spans="1:9" x14ac:dyDescent="0.25">
      <c r="A89" s="35">
        <v>44765</v>
      </c>
      <c r="B89" s="36" t="s">
        <v>68</v>
      </c>
      <c r="C89" s="36" t="s">
        <v>68</v>
      </c>
      <c r="D89">
        <v>8.9</v>
      </c>
      <c r="E89" s="36" t="s">
        <v>11</v>
      </c>
      <c r="F89" s="36" t="s">
        <v>28</v>
      </c>
      <c r="G89" s="36" t="s">
        <v>29</v>
      </c>
      <c r="H89" s="36" t="s">
        <v>25</v>
      </c>
      <c r="I89" s="36" t="s">
        <v>41</v>
      </c>
    </row>
    <row r="90" spans="1:9" x14ac:dyDescent="0.25">
      <c r="A90" s="35">
        <v>44767</v>
      </c>
      <c r="B90" s="36" t="s">
        <v>68</v>
      </c>
      <c r="C90" s="36" t="s">
        <v>68</v>
      </c>
      <c r="D90">
        <v>30.24</v>
      </c>
      <c r="E90" s="36" t="s">
        <v>11</v>
      </c>
      <c r="F90" s="36" t="s">
        <v>39</v>
      </c>
      <c r="G90" s="36" t="s">
        <v>40</v>
      </c>
      <c r="H90" s="36" t="s">
        <v>14</v>
      </c>
      <c r="I90" s="36" t="s">
        <v>49</v>
      </c>
    </row>
    <row r="91" spans="1:9" x14ac:dyDescent="0.25">
      <c r="A91" s="35">
        <v>44778</v>
      </c>
      <c r="B91" s="36" t="s">
        <v>69</v>
      </c>
      <c r="C91" s="36" t="s">
        <v>69</v>
      </c>
      <c r="D91">
        <v>1447.03</v>
      </c>
      <c r="E91" s="36" t="s">
        <v>11</v>
      </c>
      <c r="F91" s="36" t="s">
        <v>56</v>
      </c>
      <c r="G91" s="36" t="s">
        <v>57</v>
      </c>
      <c r="H91" s="36" t="s">
        <v>14</v>
      </c>
      <c r="I91" s="36" t="s">
        <v>41</v>
      </c>
    </row>
    <row r="92" spans="1:9" x14ac:dyDescent="0.25">
      <c r="A92" s="35">
        <v>44778</v>
      </c>
      <c r="B92" s="36" t="s">
        <v>69</v>
      </c>
      <c r="C92" s="36" t="s">
        <v>69</v>
      </c>
      <c r="D92">
        <v>350</v>
      </c>
      <c r="E92" s="36" t="s">
        <v>11</v>
      </c>
      <c r="F92" s="36" t="s">
        <v>55</v>
      </c>
      <c r="G92" s="36" t="s">
        <v>55</v>
      </c>
      <c r="H92" s="36" t="s">
        <v>14</v>
      </c>
      <c r="I92" s="36" t="s">
        <v>49</v>
      </c>
    </row>
    <row r="93" spans="1:9" x14ac:dyDescent="0.25">
      <c r="A93" s="35">
        <v>44778</v>
      </c>
      <c r="B93" s="36" t="s">
        <v>69</v>
      </c>
      <c r="C93" s="36" t="s">
        <v>69</v>
      </c>
      <c r="D93">
        <v>4134.37</v>
      </c>
      <c r="E93" s="36" t="s">
        <v>52</v>
      </c>
      <c r="F93" s="36" t="s">
        <v>53</v>
      </c>
      <c r="G93" s="36" t="s">
        <v>54</v>
      </c>
      <c r="H93" s="36" t="s">
        <v>14</v>
      </c>
      <c r="I93" s="36" t="s">
        <v>49</v>
      </c>
    </row>
    <row r="94" spans="1:9" x14ac:dyDescent="0.25">
      <c r="A94" s="35">
        <v>44778</v>
      </c>
      <c r="B94" s="36" t="s">
        <v>69</v>
      </c>
      <c r="C94" s="36" t="s">
        <v>69</v>
      </c>
      <c r="D94">
        <v>294.10000000000002</v>
      </c>
      <c r="E94" s="36" t="s">
        <v>11</v>
      </c>
      <c r="F94" s="36" t="s">
        <v>50</v>
      </c>
      <c r="G94" s="36" t="s">
        <v>51</v>
      </c>
      <c r="H94" s="36" t="s">
        <v>14</v>
      </c>
      <c r="I94" s="36" t="s">
        <v>49</v>
      </c>
    </row>
    <row r="95" spans="1:9" x14ac:dyDescent="0.25">
      <c r="A95" s="35">
        <v>44778</v>
      </c>
      <c r="B95" s="36" t="s">
        <v>69</v>
      </c>
      <c r="C95" s="36" t="s">
        <v>69</v>
      </c>
      <c r="D95">
        <v>7.97</v>
      </c>
      <c r="E95" s="36" t="s">
        <v>11</v>
      </c>
      <c r="F95" s="36" t="s">
        <v>47</v>
      </c>
      <c r="G95" s="36" t="s">
        <v>48</v>
      </c>
      <c r="H95" s="36" t="s">
        <v>14</v>
      </c>
      <c r="I95" s="36" t="s">
        <v>49</v>
      </c>
    </row>
    <row r="96" spans="1:9" x14ac:dyDescent="0.25">
      <c r="A96" s="35">
        <v>44778</v>
      </c>
      <c r="B96" s="36" t="s">
        <v>69</v>
      </c>
      <c r="C96" s="36" t="s">
        <v>69</v>
      </c>
      <c r="D96">
        <v>320</v>
      </c>
      <c r="E96" s="36" t="s">
        <v>11</v>
      </c>
      <c r="F96" s="36" t="s">
        <v>12</v>
      </c>
      <c r="G96" s="36" t="s">
        <v>13</v>
      </c>
      <c r="H96" s="36" t="s">
        <v>14</v>
      </c>
      <c r="I96" s="36" t="s">
        <v>49</v>
      </c>
    </row>
    <row r="97" spans="1:9" x14ac:dyDescent="0.25">
      <c r="A97" s="35">
        <v>44783</v>
      </c>
      <c r="B97" s="36" t="s">
        <v>69</v>
      </c>
      <c r="C97" s="36" t="s">
        <v>69</v>
      </c>
      <c r="D97">
        <v>69.900000000000006</v>
      </c>
      <c r="E97" s="36" t="s">
        <v>11</v>
      </c>
      <c r="F97" s="36" t="s">
        <v>58</v>
      </c>
      <c r="G97" s="36" t="s">
        <v>59</v>
      </c>
      <c r="H97" s="36" t="s">
        <v>14</v>
      </c>
      <c r="I97" s="36" t="s">
        <v>49</v>
      </c>
    </row>
    <row r="98" spans="1:9" x14ac:dyDescent="0.25">
      <c r="A98" s="35">
        <v>44783</v>
      </c>
      <c r="B98" s="36" t="s">
        <v>69</v>
      </c>
      <c r="C98" s="36" t="s">
        <v>69</v>
      </c>
      <c r="D98">
        <v>650.49</v>
      </c>
      <c r="E98" s="36" t="s">
        <v>11</v>
      </c>
      <c r="F98" s="36" t="s">
        <v>16</v>
      </c>
      <c r="G98" s="36" t="s">
        <v>19</v>
      </c>
      <c r="H98" s="36" t="s">
        <v>14</v>
      </c>
      <c r="I98" s="36" t="s">
        <v>49</v>
      </c>
    </row>
    <row r="99" spans="1:9" x14ac:dyDescent="0.25">
      <c r="A99" s="35">
        <v>44783</v>
      </c>
      <c r="B99" s="36" t="s">
        <v>69</v>
      </c>
      <c r="C99" s="36" t="s">
        <v>69</v>
      </c>
      <c r="D99">
        <v>520.24</v>
      </c>
      <c r="E99" s="36" t="s">
        <v>11</v>
      </c>
      <c r="F99" s="36" t="s">
        <v>16</v>
      </c>
      <c r="G99" s="36" t="s">
        <v>18</v>
      </c>
      <c r="H99" s="36" t="s">
        <v>14</v>
      </c>
      <c r="I99" s="36" t="s">
        <v>49</v>
      </c>
    </row>
    <row r="100" spans="1:9" x14ac:dyDescent="0.25">
      <c r="A100" s="35">
        <v>44783</v>
      </c>
      <c r="B100" s="36" t="s">
        <v>69</v>
      </c>
      <c r="C100" s="36" t="s">
        <v>69</v>
      </c>
      <c r="D100">
        <v>25.83</v>
      </c>
      <c r="E100" s="36" t="s">
        <v>11</v>
      </c>
      <c r="F100" s="36" t="s">
        <v>16</v>
      </c>
      <c r="G100" s="36" t="s">
        <v>17</v>
      </c>
      <c r="H100" s="36" t="s">
        <v>14</v>
      </c>
      <c r="I100" s="36" t="s">
        <v>49</v>
      </c>
    </row>
    <row r="101" spans="1:9" x14ac:dyDescent="0.25">
      <c r="A101" s="35">
        <v>44788</v>
      </c>
      <c r="B101" s="36" t="s">
        <v>69</v>
      </c>
      <c r="C101" s="36" t="s">
        <v>69</v>
      </c>
      <c r="D101">
        <v>99</v>
      </c>
      <c r="E101" s="36" t="s">
        <v>11</v>
      </c>
      <c r="F101" s="36" t="s">
        <v>58</v>
      </c>
      <c r="G101" s="36" t="s">
        <v>61</v>
      </c>
      <c r="H101" s="36" t="s">
        <v>14</v>
      </c>
      <c r="I101" s="36" t="s">
        <v>49</v>
      </c>
    </row>
    <row r="102" spans="1:9" x14ac:dyDescent="0.25">
      <c r="A102" s="35">
        <v>44788</v>
      </c>
      <c r="B102" s="36" t="s">
        <v>69</v>
      </c>
      <c r="C102" s="36" t="s">
        <v>69</v>
      </c>
      <c r="D102">
        <v>14.9</v>
      </c>
      <c r="E102" s="36" t="s">
        <v>11</v>
      </c>
      <c r="F102" s="36" t="s">
        <v>26</v>
      </c>
      <c r="G102" s="36" t="s">
        <v>60</v>
      </c>
      <c r="H102" s="36" t="s">
        <v>14</v>
      </c>
      <c r="I102" s="36" t="s">
        <v>49</v>
      </c>
    </row>
    <row r="103" spans="1:9" x14ac:dyDescent="0.25">
      <c r="A103" s="35">
        <v>44793</v>
      </c>
      <c r="B103" s="36" t="s">
        <v>69</v>
      </c>
      <c r="C103" s="36" t="s">
        <v>69</v>
      </c>
      <c r="D103">
        <v>4633.79</v>
      </c>
      <c r="E103" s="36" t="s">
        <v>52</v>
      </c>
      <c r="F103" s="36" t="s">
        <v>53</v>
      </c>
      <c r="G103" s="36" t="s">
        <v>63</v>
      </c>
      <c r="H103" s="36" t="s">
        <v>14</v>
      </c>
      <c r="I103" s="36" t="s">
        <v>49</v>
      </c>
    </row>
    <row r="104" spans="1:9" x14ac:dyDescent="0.25">
      <c r="A104" s="35">
        <v>44793</v>
      </c>
      <c r="B104" s="36" t="s">
        <v>69</v>
      </c>
      <c r="C104" s="36" t="s">
        <v>69</v>
      </c>
      <c r="D104">
        <v>363.82</v>
      </c>
      <c r="E104" s="36" t="s">
        <v>11</v>
      </c>
      <c r="F104" s="36" t="s">
        <v>50</v>
      </c>
      <c r="G104" s="36" t="s">
        <v>62</v>
      </c>
      <c r="H104" s="36" t="s">
        <v>14</v>
      </c>
      <c r="I104" s="36" t="s">
        <v>49</v>
      </c>
    </row>
    <row r="105" spans="1:9" x14ac:dyDescent="0.25">
      <c r="A105" s="35">
        <v>44794</v>
      </c>
      <c r="B105" s="36" t="s">
        <v>69</v>
      </c>
      <c r="C105" s="36" t="s">
        <v>69</v>
      </c>
      <c r="D105">
        <v>95.14</v>
      </c>
      <c r="E105" s="36" t="s">
        <v>11</v>
      </c>
      <c r="F105" s="36" t="s">
        <v>42</v>
      </c>
      <c r="G105" s="36" t="s">
        <v>44</v>
      </c>
      <c r="H105" s="36" t="s">
        <v>14</v>
      </c>
      <c r="I105" s="36" t="s">
        <v>49</v>
      </c>
    </row>
    <row r="106" spans="1:9" x14ac:dyDescent="0.25">
      <c r="A106" s="35">
        <v>44794</v>
      </c>
      <c r="B106" s="36" t="s">
        <v>69</v>
      </c>
      <c r="C106" s="36" t="s">
        <v>69</v>
      </c>
      <c r="D106">
        <v>206.52</v>
      </c>
      <c r="E106" s="36" t="s">
        <v>11</v>
      </c>
      <c r="F106" s="36" t="s">
        <v>42</v>
      </c>
      <c r="G106" s="36" t="s">
        <v>43</v>
      </c>
      <c r="H106" s="36" t="s">
        <v>14</v>
      </c>
      <c r="I106" s="36" t="s">
        <v>49</v>
      </c>
    </row>
    <row r="107" spans="1:9" x14ac:dyDescent="0.25">
      <c r="A107" s="35">
        <v>44795</v>
      </c>
      <c r="B107" s="36" t="s">
        <v>69</v>
      </c>
      <c r="C107" s="36" t="s">
        <v>69</v>
      </c>
      <c r="D107">
        <v>80</v>
      </c>
      <c r="E107" s="36" t="s">
        <v>11</v>
      </c>
      <c r="F107" s="36" t="s">
        <v>39</v>
      </c>
      <c r="G107" s="36" t="s">
        <v>46</v>
      </c>
      <c r="H107" s="36" t="s">
        <v>14</v>
      </c>
      <c r="I107" s="36" t="s">
        <v>49</v>
      </c>
    </row>
    <row r="108" spans="1:9" x14ac:dyDescent="0.25">
      <c r="A108" s="35">
        <v>44796</v>
      </c>
      <c r="B108" s="36" t="s">
        <v>69</v>
      </c>
      <c r="C108" s="36" t="s">
        <v>69</v>
      </c>
      <c r="D108">
        <v>100</v>
      </c>
      <c r="E108" s="36" t="s">
        <v>11</v>
      </c>
      <c r="F108" s="36" t="s">
        <v>37</v>
      </c>
      <c r="G108" s="36" t="s">
        <v>38</v>
      </c>
      <c r="H108" s="36" t="s">
        <v>36</v>
      </c>
      <c r="I108" s="36" t="s">
        <v>49</v>
      </c>
    </row>
    <row r="109" spans="1:9" x14ac:dyDescent="0.25">
      <c r="A109" s="35">
        <v>44796</v>
      </c>
      <c r="B109" s="36" t="s">
        <v>69</v>
      </c>
      <c r="C109" s="36" t="s">
        <v>69</v>
      </c>
      <c r="D109">
        <v>9.9</v>
      </c>
      <c r="E109" s="36" t="s">
        <v>11</v>
      </c>
      <c r="F109" s="36" t="s">
        <v>28</v>
      </c>
      <c r="G109" s="36" t="s">
        <v>30</v>
      </c>
      <c r="H109" s="36" t="s">
        <v>25</v>
      </c>
      <c r="I109" s="36" t="s">
        <v>41</v>
      </c>
    </row>
    <row r="110" spans="1:9" x14ac:dyDescent="0.25">
      <c r="A110" s="35">
        <v>44796</v>
      </c>
      <c r="B110" s="36" t="s">
        <v>69</v>
      </c>
      <c r="C110" s="36" t="s">
        <v>69</v>
      </c>
      <c r="D110">
        <v>8.9</v>
      </c>
      <c r="E110" s="36" t="s">
        <v>11</v>
      </c>
      <c r="F110" s="36" t="s">
        <v>28</v>
      </c>
      <c r="G110" s="36" t="s">
        <v>29</v>
      </c>
      <c r="H110" s="36" t="s">
        <v>25</v>
      </c>
      <c r="I110" s="36" t="s">
        <v>41</v>
      </c>
    </row>
    <row r="111" spans="1:9" x14ac:dyDescent="0.25">
      <c r="A111" s="35">
        <v>44798</v>
      </c>
      <c r="B111" s="36" t="s">
        <v>69</v>
      </c>
      <c r="C111" s="36" t="s">
        <v>69</v>
      </c>
      <c r="D111">
        <v>30.24</v>
      </c>
      <c r="E111" s="36" t="s">
        <v>11</v>
      </c>
      <c r="F111" s="36" t="s">
        <v>39</v>
      </c>
      <c r="G111" s="36" t="s">
        <v>40</v>
      </c>
      <c r="H111" s="36" t="s">
        <v>14</v>
      </c>
      <c r="I111" s="36" t="s">
        <v>49</v>
      </c>
    </row>
    <row r="112" spans="1:9" x14ac:dyDescent="0.25">
      <c r="A112" s="35">
        <v>44809</v>
      </c>
      <c r="B112" s="36" t="s">
        <v>70</v>
      </c>
      <c r="C112" s="36" t="s">
        <v>70</v>
      </c>
      <c r="D112">
        <v>500</v>
      </c>
      <c r="E112" s="36" t="s">
        <v>11</v>
      </c>
      <c r="F112" s="36" t="s">
        <v>55</v>
      </c>
      <c r="G112" s="36" t="s">
        <v>71</v>
      </c>
      <c r="H112" s="36" t="s">
        <v>14</v>
      </c>
      <c r="I112" s="36" t="s">
        <v>49</v>
      </c>
    </row>
    <row r="113" spans="1:9" x14ac:dyDescent="0.25">
      <c r="A113" s="35">
        <v>44809</v>
      </c>
      <c r="B113" s="36" t="s">
        <v>70</v>
      </c>
      <c r="C113" s="36" t="s">
        <v>70</v>
      </c>
      <c r="D113">
        <v>1447.03</v>
      </c>
      <c r="E113" s="36" t="s">
        <v>11</v>
      </c>
      <c r="F113" s="36" t="s">
        <v>56</v>
      </c>
      <c r="G113" s="36" t="s">
        <v>57</v>
      </c>
      <c r="H113" s="36" t="s">
        <v>14</v>
      </c>
      <c r="I113" s="36" t="s">
        <v>41</v>
      </c>
    </row>
    <row r="114" spans="1:9" x14ac:dyDescent="0.25">
      <c r="A114" s="35">
        <v>44809</v>
      </c>
      <c r="B114" s="36" t="s">
        <v>70</v>
      </c>
      <c r="C114" s="36" t="s">
        <v>70</v>
      </c>
      <c r="D114">
        <v>350</v>
      </c>
      <c r="E114" s="36" t="s">
        <v>11</v>
      </c>
      <c r="F114" s="36" t="s">
        <v>55</v>
      </c>
      <c r="G114" s="36" t="s">
        <v>55</v>
      </c>
      <c r="H114" s="36" t="s">
        <v>14</v>
      </c>
      <c r="I114" s="36" t="s">
        <v>49</v>
      </c>
    </row>
    <row r="115" spans="1:9" x14ac:dyDescent="0.25">
      <c r="A115" s="35">
        <v>44809</v>
      </c>
      <c r="B115" s="36" t="s">
        <v>70</v>
      </c>
      <c r="C115" s="36" t="s">
        <v>70</v>
      </c>
      <c r="D115">
        <v>4134.37</v>
      </c>
      <c r="E115" s="36" t="s">
        <v>52</v>
      </c>
      <c r="F115" s="36" t="s">
        <v>53</v>
      </c>
      <c r="G115" s="36" t="s">
        <v>54</v>
      </c>
      <c r="H115" s="36" t="s">
        <v>14</v>
      </c>
      <c r="I115" s="36" t="s">
        <v>49</v>
      </c>
    </row>
    <row r="116" spans="1:9" x14ac:dyDescent="0.25">
      <c r="A116" s="35">
        <v>44809</v>
      </c>
      <c r="B116" s="36" t="s">
        <v>70</v>
      </c>
      <c r="C116" s="36" t="s">
        <v>70</v>
      </c>
      <c r="D116">
        <v>294.10000000000002</v>
      </c>
      <c r="E116" s="36" t="s">
        <v>11</v>
      </c>
      <c r="F116" s="36" t="s">
        <v>50</v>
      </c>
      <c r="G116" s="36" t="s">
        <v>51</v>
      </c>
      <c r="H116" s="36" t="s">
        <v>14</v>
      </c>
      <c r="I116" s="36" t="s">
        <v>49</v>
      </c>
    </row>
    <row r="117" spans="1:9" x14ac:dyDescent="0.25">
      <c r="A117" s="35">
        <v>44809</v>
      </c>
      <c r="B117" s="36" t="s">
        <v>70</v>
      </c>
      <c r="C117" s="36" t="s">
        <v>70</v>
      </c>
      <c r="D117">
        <v>7.97</v>
      </c>
      <c r="E117" s="36" t="s">
        <v>11</v>
      </c>
      <c r="F117" s="36" t="s">
        <v>47</v>
      </c>
      <c r="G117" s="36" t="s">
        <v>48</v>
      </c>
      <c r="H117" s="36" t="s">
        <v>14</v>
      </c>
      <c r="I117" s="36" t="s">
        <v>49</v>
      </c>
    </row>
    <row r="118" spans="1:9" x14ac:dyDescent="0.25">
      <c r="A118" s="35">
        <v>44809</v>
      </c>
      <c r="B118" s="36" t="s">
        <v>70</v>
      </c>
      <c r="C118" s="36" t="s">
        <v>70</v>
      </c>
      <c r="D118">
        <v>320</v>
      </c>
      <c r="E118" s="36" t="s">
        <v>11</v>
      </c>
      <c r="F118" s="36" t="s">
        <v>12</v>
      </c>
      <c r="G118" s="36" t="s">
        <v>13</v>
      </c>
      <c r="H118" s="36" t="s">
        <v>14</v>
      </c>
      <c r="I118" s="36" t="s">
        <v>49</v>
      </c>
    </row>
    <row r="119" spans="1:9" x14ac:dyDescent="0.25">
      <c r="A119" s="35">
        <v>44814</v>
      </c>
      <c r="B119" s="36" t="s">
        <v>70</v>
      </c>
      <c r="C119" s="36" t="s">
        <v>70</v>
      </c>
      <c r="D119">
        <v>69.900000000000006</v>
      </c>
      <c r="E119" s="36" t="s">
        <v>11</v>
      </c>
      <c r="F119" s="36" t="s">
        <v>58</v>
      </c>
      <c r="G119" s="36" t="s">
        <v>59</v>
      </c>
      <c r="H119" s="36" t="s">
        <v>14</v>
      </c>
      <c r="I119" s="36" t="s">
        <v>49</v>
      </c>
    </row>
    <row r="120" spans="1:9" x14ac:dyDescent="0.25">
      <c r="A120" s="35">
        <v>44814</v>
      </c>
      <c r="B120" s="36" t="s">
        <v>70</v>
      </c>
      <c r="C120" s="36" t="s">
        <v>70</v>
      </c>
      <c r="D120">
        <v>650.49</v>
      </c>
      <c r="E120" s="36" t="s">
        <v>11</v>
      </c>
      <c r="F120" s="36" t="s">
        <v>16</v>
      </c>
      <c r="G120" s="36" t="s">
        <v>19</v>
      </c>
      <c r="H120" s="36" t="s">
        <v>14</v>
      </c>
      <c r="I120" s="36" t="s">
        <v>49</v>
      </c>
    </row>
    <row r="121" spans="1:9" x14ac:dyDescent="0.25">
      <c r="A121" s="35">
        <v>44814</v>
      </c>
      <c r="B121" s="36" t="s">
        <v>70</v>
      </c>
      <c r="C121" s="36" t="s">
        <v>70</v>
      </c>
      <c r="D121">
        <v>520.24</v>
      </c>
      <c r="E121" s="36" t="s">
        <v>11</v>
      </c>
      <c r="F121" s="36" t="s">
        <v>16</v>
      </c>
      <c r="G121" s="36" t="s">
        <v>18</v>
      </c>
      <c r="H121" s="36" t="s">
        <v>14</v>
      </c>
      <c r="I121" s="36" t="s">
        <v>49</v>
      </c>
    </row>
    <row r="122" spans="1:9" x14ac:dyDescent="0.25">
      <c r="A122" s="35">
        <v>44814</v>
      </c>
      <c r="B122" s="36" t="s">
        <v>70</v>
      </c>
      <c r="C122" s="36" t="s">
        <v>70</v>
      </c>
      <c r="D122">
        <v>25.83</v>
      </c>
      <c r="E122" s="36" t="s">
        <v>11</v>
      </c>
      <c r="F122" s="36" t="s">
        <v>16</v>
      </c>
      <c r="G122" s="36" t="s">
        <v>17</v>
      </c>
      <c r="H122" s="36" t="s">
        <v>14</v>
      </c>
      <c r="I122" s="36" t="s">
        <v>49</v>
      </c>
    </row>
    <row r="123" spans="1:9" x14ac:dyDescent="0.25">
      <c r="A123" s="35">
        <v>44819</v>
      </c>
      <c r="B123" s="36" t="s">
        <v>70</v>
      </c>
      <c r="C123" s="36" t="s">
        <v>70</v>
      </c>
      <c r="D123">
        <v>99</v>
      </c>
      <c r="E123" s="36" t="s">
        <v>11</v>
      </c>
      <c r="F123" s="36" t="s">
        <v>58</v>
      </c>
      <c r="G123" s="36" t="s">
        <v>61</v>
      </c>
      <c r="H123" s="36" t="s">
        <v>14</v>
      </c>
      <c r="I123" s="36" t="s">
        <v>49</v>
      </c>
    </row>
    <row r="124" spans="1:9" x14ac:dyDescent="0.25">
      <c r="A124" s="35">
        <v>44819</v>
      </c>
      <c r="B124" s="36" t="s">
        <v>70</v>
      </c>
      <c r="C124" s="36" t="s">
        <v>70</v>
      </c>
      <c r="D124">
        <v>14.9</v>
      </c>
      <c r="E124" s="36" t="s">
        <v>11</v>
      </c>
      <c r="F124" s="36" t="s">
        <v>26</v>
      </c>
      <c r="G124" s="36" t="s">
        <v>60</v>
      </c>
      <c r="H124" s="36" t="s">
        <v>14</v>
      </c>
      <c r="I124" s="36" t="s">
        <v>49</v>
      </c>
    </row>
    <row r="125" spans="1:9" x14ac:dyDescent="0.25">
      <c r="A125" s="35">
        <v>44824</v>
      </c>
      <c r="B125" s="36" t="s">
        <v>70</v>
      </c>
      <c r="C125" s="36" t="s">
        <v>70</v>
      </c>
      <c r="D125">
        <v>4633.79</v>
      </c>
      <c r="E125" s="36" t="s">
        <v>52</v>
      </c>
      <c r="F125" s="36" t="s">
        <v>53</v>
      </c>
      <c r="G125" s="36" t="s">
        <v>63</v>
      </c>
      <c r="H125" s="36" t="s">
        <v>14</v>
      </c>
      <c r="I125" s="36" t="s">
        <v>49</v>
      </c>
    </row>
    <row r="126" spans="1:9" x14ac:dyDescent="0.25">
      <c r="A126" s="35">
        <v>44824</v>
      </c>
      <c r="B126" s="36" t="s">
        <v>70</v>
      </c>
      <c r="C126" s="36" t="s">
        <v>70</v>
      </c>
      <c r="D126">
        <v>363.82</v>
      </c>
      <c r="E126" s="36" t="s">
        <v>11</v>
      </c>
      <c r="F126" s="36" t="s">
        <v>50</v>
      </c>
      <c r="G126" s="36" t="s">
        <v>62</v>
      </c>
      <c r="H126" s="36" t="s">
        <v>14</v>
      </c>
      <c r="I126" s="36" t="s">
        <v>49</v>
      </c>
    </row>
    <row r="127" spans="1:9" x14ac:dyDescent="0.25">
      <c r="A127" s="35">
        <v>44825</v>
      </c>
      <c r="B127" s="36" t="s">
        <v>70</v>
      </c>
      <c r="C127" s="36" t="s">
        <v>70</v>
      </c>
      <c r="D127">
        <v>95.14</v>
      </c>
      <c r="E127" s="36" t="s">
        <v>11</v>
      </c>
      <c r="F127" s="36" t="s">
        <v>42</v>
      </c>
      <c r="G127" s="36" t="s">
        <v>44</v>
      </c>
      <c r="H127" s="36" t="s">
        <v>14</v>
      </c>
      <c r="I127" s="36" t="s">
        <v>49</v>
      </c>
    </row>
    <row r="128" spans="1:9" x14ac:dyDescent="0.25">
      <c r="A128" s="35">
        <v>44825</v>
      </c>
      <c r="B128" s="36" t="s">
        <v>70</v>
      </c>
      <c r="C128" s="36" t="s">
        <v>70</v>
      </c>
      <c r="D128">
        <v>206.52</v>
      </c>
      <c r="E128" s="36" t="s">
        <v>11</v>
      </c>
      <c r="F128" s="36" t="s">
        <v>42</v>
      </c>
      <c r="G128" s="36" t="s">
        <v>43</v>
      </c>
      <c r="H128" s="36" t="s">
        <v>14</v>
      </c>
      <c r="I128" s="36" t="s">
        <v>49</v>
      </c>
    </row>
    <row r="129" spans="1:9" x14ac:dyDescent="0.25">
      <c r="A129" s="35">
        <v>44826</v>
      </c>
      <c r="B129" s="36" t="s">
        <v>70</v>
      </c>
      <c r="C129" s="36" t="s">
        <v>70</v>
      </c>
      <c r="D129">
        <v>80</v>
      </c>
      <c r="E129" s="36" t="s">
        <v>11</v>
      </c>
      <c r="F129" s="36" t="s">
        <v>39</v>
      </c>
      <c r="G129" s="36" t="s">
        <v>46</v>
      </c>
      <c r="H129" s="36" t="s">
        <v>14</v>
      </c>
      <c r="I129" s="36" t="s">
        <v>49</v>
      </c>
    </row>
    <row r="130" spans="1:9" x14ac:dyDescent="0.25">
      <c r="A130" s="35">
        <v>44827</v>
      </c>
      <c r="B130" s="36" t="s">
        <v>70</v>
      </c>
      <c r="C130" s="36" t="s">
        <v>70</v>
      </c>
      <c r="D130">
        <v>100</v>
      </c>
      <c r="E130" s="36" t="s">
        <v>11</v>
      </c>
      <c r="F130" s="36" t="s">
        <v>37</v>
      </c>
      <c r="G130" s="36" t="s">
        <v>38</v>
      </c>
      <c r="H130" s="36" t="s">
        <v>36</v>
      </c>
      <c r="I130" s="36" t="s">
        <v>49</v>
      </c>
    </row>
    <row r="131" spans="1:9" x14ac:dyDescent="0.25">
      <c r="A131" s="35">
        <v>44827</v>
      </c>
      <c r="B131" s="36" t="s">
        <v>70</v>
      </c>
      <c r="C131" s="36" t="s">
        <v>70</v>
      </c>
      <c r="D131">
        <v>9.9</v>
      </c>
      <c r="E131" s="36" t="s">
        <v>11</v>
      </c>
      <c r="F131" s="36" t="s">
        <v>28</v>
      </c>
      <c r="G131" s="36" t="s">
        <v>30</v>
      </c>
      <c r="H131" s="36" t="s">
        <v>25</v>
      </c>
      <c r="I131" s="36" t="s">
        <v>41</v>
      </c>
    </row>
    <row r="132" spans="1:9" x14ac:dyDescent="0.25">
      <c r="A132" s="35">
        <v>44827</v>
      </c>
      <c r="B132" s="36" t="s">
        <v>70</v>
      </c>
      <c r="C132" s="36" t="s">
        <v>70</v>
      </c>
      <c r="D132">
        <v>8.9</v>
      </c>
      <c r="E132" s="36" t="s">
        <v>11</v>
      </c>
      <c r="F132" s="36" t="s">
        <v>28</v>
      </c>
      <c r="G132" s="36" t="s">
        <v>29</v>
      </c>
      <c r="H132" s="36" t="s">
        <v>25</v>
      </c>
      <c r="I132" s="36" t="s">
        <v>41</v>
      </c>
    </row>
    <row r="133" spans="1:9" x14ac:dyDescent="0.25">
      <c r="A133" s="35">
        <v>44829</v>
      </c>
      <c r="B133" s="36" t="s">
        <v>70</v>
      </c>
      <c r="C133" s="36" t="s">
        <v>70</v>
      </c>
      <c r="D133">
        <v>30.24</v>
      </c>
      <c r="E133" s="36" t="s">
        <v>11</v>
      </c>
      <c r="F133" s="36" t="s">
        <v>39</v>
      </c>
      <c r="G133" s="36" t="s">
        <v>40</v>
      </c>
      <c r="H133" s="36" t="s">
        <v>14</v>
      </c>
      <c r="I133" s="36" t="s">
        <v>49</v>
      </c>
    </row>
    <row r="134" spans="1:9" x14ac:dyDescent="0.25">
      <c r="A134" s="35">
        <v>44839</v>
      </c>
      <c r="B134" s="36" t="s">
        <v>72</v>
      </c>
      <c r="C134" s="36" t="s">
        <v>72</v>
      </c>
      <c r="D134">
        <v>1447.03</v>
      </c>
      <c r="E134" s="36" t="s">
        <v>11</v>
      </c>
      <c r="F134" s="36" t="s">
        <v>56</v>
      </c>
      <c r="G134" s="36" t="s">
        <v>57</v>
      </c>
      <c r="H134" s="36" t="s">
        <v>14</v>
      </c>
      <c r="I134" s="36" t="s">
        <v>41</v>
      </c>
    </row>
    <row r="135" spans="1:9" x14ac:dyDescent="0.25">
      <c r="A135" s="35">
        <v>44839</v>
      </c>
      <c r="B135" s="36" t="s">
        <v>72</v>
      </c>
      <c r="C135" s="36" t="s">
        <v>72</v>
      </c>
      <c r="D135">
        <v>350</v>
      </c>
      <c r="E135" s="36" t="s">
        <v>11</v>
      </c>
      <c r="F135" s="36" t="s">
        <v>55</v>
      </c>
      <c r="G135" s="36" t="s">
        <v>55</v>
      </c>
      <c r="H135" s="36" t="s">
        <v>14</v>
      </c>
      <c r="I135" s="36" t="s">
        <v>49</v>
      </c>
    </row>
    <row r="136" spans="1:9" x14ac:dyDescent="0.25">
      <c r="A136" s="35">
        <v>44839</v>
      </c>
      <c r="B136" s="36" t="s">
        <v>72</v>
      </c>
      <c r="C136" s="36" t="s">
        <v>72</v>
      </c>
      <c r="D136">
        <v>4134.37</v>
      </c>
      <c r="E136" s="36" t="s">
        <v>52</v>
      </c>
      <c r="F136" s="36" t="s">
        <v>53</v>
      </c>
      <c r="G136" s="36" t="s">
        <v>54</v>
      </c>
      <c r="H136" s="36" t="s">
        <v>14</v>
      </c>
      <c r="I136" s="36" t="s">
        <v>49</v>
      </c>
    </row>
    <row r="137" spans="1:9" x14ac:dyDescent="0.25">
      <c r="A137" s="35">
        <v>44839</v>
      </c>
      <c r="B137" s="36" t="s">
        <v>72</v>
      </c>
      <c r="C137" s="36" t="s">
        <v>72</v>
      </c>
      <c r="D137">
        <v>294.10000000000002</v>
      </c>
      <c r="E137" s="36" t="s">
        <v>11</v>
      </c>
      <c r="F137" s="36" t="s">
        <v>50</v>
      </c>
      <c r="G137" s="36" t="s">
        <v>51</v>
      </c>
      <c r="H137" s="36" t="s">
        <v>14</v>
      </c>
      <c r="I137" s="36" t="s">
        <v>49</v>
      </c>
    </row>
    <row r="138" spans="1:9" x14ac:dyDescent="0.25">
      <c r="A138" s="35">
        <v>44839</v>
      </c>
      <c r="B138" s="36" t="s">
        <v>72</v>
      </c>
      <c r="C138" s="36" t="s">
        <v>72</v>
      </c>
      <c r="D138">
        <v>7.97</v>
      </c>
      <c r="E138" s="36" t="s">
        <v>11</v>
      </c>
      <c r="F138" s="36" t="s">
        <v>47</v>
      </c>
      <c r="G138" s="36" t="s">
        <v>48</v>
      </c>
      <c r="H138" s="36" t="s">
        <v>14</v>
      </c>
      <c r="I138" s="36" t="s">
        <v>49</v>
      </c>
    </row>
    <row r="139" spans="1:9" x14ac:dyDescent="0.25">
      <c r="A139" s="35">
        <v>44839</v>
      </c>
      <c r="B139" s="36" t="s">
        <v>72</v>
      </c>
      <c r="C139" s="36" t="s">
        <v>72</v>
      </c>
      <c r="D139">
        <v>320</v>
      </c>
      <c r="E139" s="36" t="s">
        <v>11</v>
      </c>
      <c r="F139" s="36" t="s">
        <v>12</v>
      </c>
      <c r="G139" s="36" t="s">
        <v>13</v>
      </c>
      <c r="H139" s="36" t="s">
        <v>14</v>
      </c>
      <c r="I139" s="36" t="s">
        <v>49</v>
      </c>
    </row>
    <row r="140" spans="1:9" x14ac:dyDescent="0.25">
      <c r="A140" s="35">
        <v>44844</v>
      </c>
      <c r="B140" s="36" t="s">
        <v>72</v>
      </c>
      <c r="C140" s="36" t="s">
        <v>72</v>
      </c>
      <c r="D140">
        <v>69.900000000000006</v>
      </c>
      <c r="E140" s="36" t="s">
        <v>11</v>
      </c>
      <c r="F140" s="36" t="s">
        <v>58</v>
      </c>
      <c r="G140" s="36" t="s">
        <v>59</v>
      </c>
      <c r="H140" s="36" t="s">
        <v>14</v>
      </c>
      <c r="I140" s="36" t="s">
        <v>49</v>
      </c>
    </row>
    <row r="141" spans="1:9" x14ac:dyDescent="0.25">
      <c r="A141" s="35">
        <v>44844</v>
      </c>
      <c r="B141" s="36" t="s">
        <v>72</v>
      </c>
      <c r="C141" s="36" t="s">
        <v>72</v>
      </c>
      <c r="D141">
        <v>650.49</v>
      </c>
      <c r="E141" s="36" t="s">
        <v>11</v>
      </c>
      <c r="F141" s="36" t="s">
        <v>16</v>
      </c>
      <c r="G141" s="36" t="s">
        <v>19</v>
      </c>
      <c r="H141" s="36" t="s">
        <v>14</v>
      </c>
      <c r="I141" s="36" t="s">
        <v>49</v>
      </c>
    </row>
    <row r="142" spans="1:9" x14ac:dyDescent="0.25">
      <c r="A142" s="35">
        <v>44844</v>
      </c>
      <c r="B142" s="36" t="s">
        <v>72</v>
      </c>
      <c r="C142" s="36" t="s">
        <v>72</v>
      </c>
      <c r="D142">
        <v>520.24</v>
      </c>
      <c r="E142" s="36" t="s">
        <v>11</v>
      </c>
      <c r="F142" s="36" t="s">
        <v>16</v>
      </c>
      <c r="G142" s="36" t="s">
        <v>18</v>
      </c>
      <c r="H142" s="36" t="s">
        <v>14</v>
      </c>
      <c r="I142" s="36" t="s">
        <v>49</v>
      </c>
    </row>
    <row r="143" spans="1:9" x14ac:dyDescent="0.25">
      <c r="A143" s="35">
        <v>44844</v>
      </c>
      <c r="B143" s="36" t="s">
        <v>72</v>
      </c>
      <c r="C143" s="36" t="s">
        <v>72</v>
      </c>
      <c r="D143">
        <v>25.83</v>
      </c>
      <c r="E143" s="36" t="s">
        <v>11</v>
      </c>
      <c r="F143" s="36" t="s">
        <v>16</v>
      </c>
      <c r="G143" s="36" t="s">
        <v>17</v>
      </c>
      <c r="H143" s="36" t="s">
        <v>14</v>
      </c>
      <c r="I143" s="36" t="s">
        <v>49</v>
      </c>
    </row>
    <row r="144" spans="1:9" x14ac:dyDescent="0.25">
      <c r="A144" s="35">
        <v>44849</v>
      </c>
      <c r="B144" s="36" t="s">
        <v>72</v>
      </c>
      <c r="C144" s="36" t="s">
        <v>72</v>
      </c>
      <c r="D144">
        <v>99</v>
      </c>
      <c r="E144" s="36" t="s">
        <v>11</v>
      </c>
      <c r="F144" s="36" t="s">
        <v>58</v>
      </c>
      <c r="G144" s="36" t="s">
        <v>61</v>
      </c>
      <c r="H144" s="36" t="s">
        <v>14</v>
      </c>
      <c r="I144" s="36" t="s">
        <v>49</v>
      </c>
    </row>
    <row r="145" spans="1:9" x14ac:dyDescent="0.25">
      <c r="A145" s="35">
        <v>44849</v>
      </c>
      <c r="B145" s="36" t="s">
        <v>72</v>
      </c>
      <c r="C145" s="36" t="s">
        <v>72</v>
      </c>
      <c r="D145">
        <v>14.9</v>
      </c>
      <c r="E145" s="36" t="s">
        <v>11</v>
      </c>
      <c r="F145" s="36" t="s">
        <v>26</v>
      </c>
      <c r="G145" s="36" t="s">
        <v>60</v>
      </c>
      <c r="H145" s="36" t="s">
        <v>14</v>
      </c>
      <c r="I145" s="36" t="s">
        <v>49</v>
      </c>
    </row>
    <row r="146" spans="1:9" x14ac:dyDescent="0.25">
      <c r="A146" s="35">
        <v>44854</v>
      </c>
      <c r="B146" s="36" t="s">
        <v>72</v>
      </c>
      <c r="C146" s="36" t="s">
        <v>72</v>
      </c>
      <c r="D146">
        <v>4633.79</v>
      </c>
      <c r="E146" s="36" t="s">
        <v>52</v>
      </c>
      <c r="F146" s="36" t="s">
        <v>53</v>
      </c>
      <c r="G146" s="36" t="s">
        <v>63</v>
      </c>
      <c r="H146" s="36" t="s">
        <v>14</v>
      </c>
      <c r="I146" s="36" t="s">
        <v>49</v>
      </c>
    </row>
    <row r="147" spans="1:9" x14ac:dyDescent="0.25">
      <c r="A147" s="35">
        <v>44854</v>
      </c>
      <c r="B147" s="36" t="s">
        <v>72</v>
      </c>
      <c r="C147" s="36" t="s">
        <v>72</v>
      </c>
      <c r="D147">
        <v>363.82</v>
      </c>
      <c r="E147" s="36" t="s">
        <v>11</v>
      </c>
      <c r="F147" s="36" t="s">
        <v>50</v>
      </c>
      <c r="G147" s="36" t="s">
        <v>62</v>
      </c>
      <c r="H147" s="36" t="s">
        <v>14</v>
      </c>
      <c r="I147" s="36" t="s">
        <v>49</v>
      </c>
    </row>
    <row r="148" spans="1:9" x14ac:dyDescent="0.25">
      <c r="A148" s="35">
        <v>44855</v>
      </c>
      <c r="B148" s="36" t="s">
        <v>72</v>
      </c>
      <c r="C148" s="36" t="s">
        <v>72</v>
      </c>
      <c r="D148">
        <v>95.14</v>
      </c>
      <c r="E148" s="36" t="s">
        <v>11</v>
      </c>
      <c r="F148" s="36" t="s">
        <v>42</v>
      </c>
      <c r="G148" s="36" t="s">
        <v>44</v>
      </c>
      <c r="H148" s="36" t="s">
        <v>14</v>
      </c>
      <c r="I148" s="36" t="s">
        <v>49</v>
      </c>
    </row>
    <row r="149" spans="1:9" x14ac:dyDescent="0.25">
      <c r="A149" s="35">
        <v>44855</v>
      </c>
      <c r="B149" s="36" t="s">
        <v>72</v>
      </c>
      <c r="C149" s="36" t="s">
        <v>72</v>
      </c>
      <c r="D149">
        <v>206.52</v>
      </c>
      <c r="E149" s="36" t="s">
        <v>11</v>
      </c>
      <c r="F149" s="36" t="s">
        <v>42</v>
      </c>
      <c r="G149" s="36" t="s">
        <v>43</v>
      </c>
      <c r="H149" s="36" t="s">
        <v>14</v>
      </c>
      <c r="I149" s="36" t="s">
        <v>49</v>
      </c>
    </row>
    <row r="150" spans="1:9" x14ac:dyDescent="0.25">
      <c r="A150" s="35">
        <v>44856</v>
      </c>
      <c r="B150" s="36" t="s">
        <v>72</v>
      </c>
      <c r="C150" s="36" t="s">
        <v>72</v>
      </c>
      <c r="D150">
        <v>80</v>
      </c>
      <c r="E150" s="36" t="s">
        <v>11</v>
      </c>
      <c r="F150" s="36" t="s">
        <v>39</v>
      </c>
      <c r="G150" s="36" t="s">
        <v>46</v>
      </c>
      <c r="H150" s="36" t="s">
        <v>14</v>
      </c>
      <c r="I150" s="36" t="s">
        <v>49</v>
      </c>
    </row>
    <row r="151" spans="1:9" x14ac:dyDescent="0.25">
      <c r="A151" s="35">
        <v>44857</v>
      </c>
      <c r="B151" s="36" t="s">
        <v>72</v>
      </c>
      <c r="C151" s="36" t="s">
        <v>72</v>
      </c>
      <c r="D151">
        <v>100</v>
      </c>
      <c r="E151" s="36" t="s">
        <v>11</v>
      </c>
      <c r="F151" s="36" t="s">
        <v>37</v>
      </c>
      <c r="G151" s="36" t="s">
        <v>38</v>
      </c>
      <c r="H151" s="36" t="s">
        <v>36</v>
      </c>
      <c r="I151" s="36" t="s">
        <v>49</v>
      </c>
    </row>
    <row r="152" spans="1:9" x14ac:dyDescent="0.25">
      <c r="A152" s="35">
        <v>44857</v>
      </c>
      <c r="B152" s="36" t="s">
        <v>72</v>
      </c>
      <c r="C152" s="36" t="s">
        <v>72</v>
      </c>
      <c r="D152">
        <v>9.9</v>
      </c>
      <c r="E152" s="36" t="s">
        <v>11</v>
      </c>
      <c r="F152" s="36" t="s">
        <v>28</v>
      </c>
      <c r="G152" s="36" t="s">
        <v>30</v>
      </c>
      <c r="H152" s="36" t="s">
        <v>25</v>
      </c>
      <c r="I152" s="36" t="s">
        <v>41</v>
      </c>
    </row>
    <row r="153" spans="1:9" x14ac:dyDescent="0.25">
      <c r="A153" s="35">
        <v>44857</v>
      </c>
      <c r="B153" s="36" t="s">
        <v>72</v>
      </c>
      <c r="C153" s="36" t="s">
        <v>72</v>
      </c>
      <c r="D153">
        <v>8.9</v>
      </c>
      <c r="E153" s="36" t="s">
        <v>11</v>
      </c>
      <c r="F153" s="36" t="s">
        <v>28</v>
      </c>
      <c r="G153" s="36" t="s">
        <v>29</v>
      </c>
      <c r="H153" s="36" t="s">
        <v>25</v>
      </c>
      <c r="I153" s="36" t="s">
        <v>41</v>
      </c>
    </row>
    <row r="154" spans="1:9" x14ac:dyDescent="0.25">
      <c r="A154" s="35">
        <v>44859</v>
      </c>
      <c r="B154" s="36" t="s">
        <v>72</v>
      </c>
      <c r="C154" s="36" t="s">
        <v>72</v>
      </c>
      <c r="D154">
        <v>30.24</v>
      </c>
      <c r="E154" s="36" t="s">
        <v>11</v>
      </c>
      <c r="F154" s="36" t="s">
        <v>39</v>
      </c>
      <c r="G154" s="36" t="s">
        <v>40</v>
      </c>
      <c r="H154" s="36" t="s">
        <v>14</v>
      </c>
      <c r="I154" s="36" t="s">
        <v>49</v>
      </c>
    </row>
    <row r="155" spans="1:9" x14ac:dyDescent="0.25">
      <c r="A155" s="35">
        <v>44870</v>
      </c>
      <c r="B155" s="36" t="s">
        <v>73</v>
      </c>
      <c r="C155" s="36" t="s">
        <v>73</v>
      </c>
      <c r="D155">
        <v>1447.03</v>
      </c>
      <c r="E155" s="36" t="s">
        <v>11</v>
      </c>
      <c r="F155" s="36" t="s">
        <v>56</v>
      </c>
      <c r="G155" s="36" t="s">
        <v>57</v>
      </c>
      <c r="H155" s="36" t="s">
        <v>14</v>
      </c>
      <c r="I155" s="36" t="s">
        <v>41</v>
      </c>
    </row>
    <row r="156" spans="1:9" x14ac:dyDescent="0.25">
      <c r="A156" s="35">
        <v>44870</v>
      </c>
      <c r="B156" s="36" t="s">
        <v>73</v>
      </c>
      <c r="C156" s="36" t="s">
        <v>73</v>
      </c>
      <c r="D156">
        <v>350</v>
      </c>
      <c r="E156" s="36" t="s">
        <v>11</v>
      </c>
      <c r="F156" s="36" t="s">
        <v>55</v>
      </c>
      <c r="G156" s="36" t="s">
        <v>55</v>
      </c>
      <c r="H156" s="36" t="s">
        <v>14</v>
      </c>
      <c r="I156" s="36" t="s">
        <v>49</v>
      </c>
    </row>
    <row r="157" spans="1:9" x14ac:dyDescent="0.25">
      <c r="A157" s="35">
        <v>44870</v>
      </c>
      <c r="B157" s="36" t="s">
        <v>73</v>
      </c>
      <c r="C157" s="36" t="s">
        <v>73</v>
      </c>
      <c r="D157">
        <v>4134.37</v>
      </c>
      <c r="E157" s="36" t="s">
        <v>52</v>
      </c>
      <c r="F157" s="36" t="s">
        <v>53</v>
      </c>
      <c r="G157" s="36" t="s">
        <v>54</v>
      </c>
      <c r="H157" s="36" t="s">
        <v>14</v>
      </c>
      <c r="I157" s="36" t="s">
        <v>49</v>
      </c>
    </row>
    <row r="158" spans="1:9" x14ac:dyDescent="0.25">
      <c r="A158" s="35">
        <v>44870</v>
      </c>
      <c r="B158" s="36" t="s">
        <v>73</v>
      </c>
      <c r="C158" s="36" t="s">
        <v>73</v>
      </c>
      <c r="D158">
        <v>294.10000000000002</v>
      </c>
      <c r="E158" s="36" t="s">
        <v>11</v>
      </c>
      <c r="F158" s="36" t="s">
        <v>50</v>
      </c>
      <c r="G158" s="36" t="s">
        <v>51</v>
      </c>
      <c r="H158" s="36" t="s">
        <v>14</v>
      </c>
      <c r="I158" s="36" t="s">
        <v>49</v>
      </c>
    </row>
    <row r="159" spans="1:9" x14ac:dyDescent="0.25">
      <c r="A159" s="35">
        <v>44870</v>
      </c>
      <c r="B159" s="36" t="s">
        <v>73</v>
      </c>
      <c r="C159" s="36" t="s">
        <v>73</v>
      </c>
      <c r="D159">
        <v>7.97</v>
      </c>
      <c r="E159" s="36" t="s">
        <v>11</v>
      </c>
      <c r="F159" s="36" t="s">
        <v>47</v>
      </c>
      <c r="G159" s="36" t="s">
        <v>48</v>
      </c>
      <c r="H159" s="36" t="s">
        <v>14</v>
      </c>
      <c r="I159" s="36" t="s">
        <v>49</v>
      </c>
    </row>
    <row r="160" spans="1:9" x14ac:dyDescent="0.25">
      <c r="A160" s="35">
        <v>44870</v>
      </c>
      <c r="B160" s="36" t="s">
        <v>73</v>
      </c>
      <c r="C160" s="36" t="s">
        <v>73</v>
      </c>
      <c r="D160">
        <v>320</v>
      </c>
      <c r="E160" s="36" t="s">
        <v>11</v>
      </c>
      <c r="F160" s="36" t="s">
        <v>12</v>
      </c>
      <c r="G160" s="36" t="s">
        <v>13</v>
      </c>
      <c r="H160" s="36" t="s">
        <v>14</v>
      </c>
      <c r="I160" s="36" t="s">
        <v>49</v>
      </c>
    </row>
    <row r="161" spans="1:9" x14ac:dyDescent="0.25">
      <c r="A161" s="35">
        <v>44875</v>
      </c>
      <c r="B161" s="36" t="s">
        <v>73</v>
      </c>
      <c r="C161" s="36" t="s">
        <v>73</v>
      </c>
      <c r="D161">
        <v>69.900000000000006</v>
      </c>
      <c r="E161" s="36" t="s">
        <v>11</v>
      </c>
      <c r="F161" s="36" t="s">
        <v>58</v>
      </c>
      <c r="G161" s="36" t="s">
        <v>59</v>
      </c>
      <c r="H161" s="36" t="s">
        <v>14</v>
      </c>
      <c r="I161" s="36" t="s">
        <v>49</v>
      </c>
    </row>
    <row r="162" spans="1:9" x14ac:dyDescent="0.25">
      <c r="A162" s="35">
        <v>44875</v>
      </c>
      <c r="B162" s="36" t="s">
        <v>73</v>
      </c>
      <c r="C162" s="36" t="s">
        <v>73</v>
      </c>
      <c r="D162">
        <v>650.49</v>
      </c>
      <c r="E162" s="36" t="s">
        <v>11</v>
      </c>
      <c r="F162" s="36" t="s">
        <v>16</v>
      </c>
      <c r="G162" s="36" t="s">
        <v>19</v>
      </c>
      <c r="H162" s="36" t="s">
        <v>14</v>
      </c>
      <c r="I162" s="36" t="s">
        <v>49</v>
      </c>
    </row>
    <row r="163" spans="1:9" x14ac:dyDescent="0.25">
      <c r="A163" s="35">
        <v>44875</v>
      </c>
      <c r="B163" s="36" t="s">
        <v>73</v>
      </c>
      <c r="C163" s="36" t="s">
        <v>73</v>
      </c>
      <c r="D163">
        <v>520.24</v>
      </c>
      <c r="E163" s="36" t="s">
        <v>11</v>
      </c>
      <c r="F163" s="36" t="s">
        <v>16</v>
      </c>
      <c r="G163" s="36" t="s">
        <v>18</v>
      </c>
      <c r="H163" s="36" t="s">
        <v>14</v>
      </c>
      <c r="I163" s="36" t="s">
        <v>49</v>
      </c>
    </row>
    <row r="164" spans="1:9" x14ac:dyDescent="0.25">
      <c r="A164" s="35">
        <v>44875</v>
      </c>
      <c r="B164" s="36" t="s">
        <v>73</v>
      </c>
      <c r="C164" s="36" t="s">
        <v>73</v>
      </c>
      <c r="D164">
        <v>25.83</v>
      </c>
      <c r="E164" s="36" t="s">
        <v>11</v>
      </c>
      <c r="F164" s="36" t="s">
        <v>16</v>
      </c>
      <c r="G164" s="36" t="s">
        <v>17</v>
      </c>
      <c r="H164" s="36" t="s">
        <v>14</v>
      </c>
      <c r="I164" s="36" t="s">
        <v>49</v>
      </c>
    </row>
    <row r="165" spans="1:9" x14ac:dyDescent="0.25">
      <c r="A165" s="35">
        <v>44880</v>
      </c>
      <c r="B165" s="36" t="s">
        <v>73</v>
      </c>
      <c r="C165" s="36" t="s">
        <v>73</v>
      </c>
      <c r="D165">
        <v>99</v>
      </c>
      <c r="E165" s="36" t="s">
        <v>11</v>
      </c>
      <c r="F165" s="36" t="s">
        <v>58</v>
      </c>
      <c r="G165" s="36" t="s">
        <v>61</v>
      </c>
      <c r="H165" s="36" t="s">
        <v>14</v>
      </c>
      <c r="I165" s="36" t="s">
        <v>49</v>
      </c>
    </row>
    <row r="166" spans="1:9" x14ac:dyDescent="0.25">
      <c r="A166" s="35">
        <v>44880</v>
      </c>
      <c r="B166" s="36" t="s">
        <v>73</v>
      </c>
      <c r="C166" s="36" t="s">
        <v>73</v>
      </c>
      <c r="D166">
        <v>14.9</v>
      </c>
      <c r="E166" s="36" t="s">
        <v>11</v>
      </c>
      <c r="F166" s="36" t="s">
        <v>26</v>
      </c>
      <c r="G166" s="36" t="s">
        <v>60</v>
      </c>
      <c r="H166" s="36" t="s">
        <v>14</v>
      </c>
      <c r="I166" s="36" t="s">
        <v>49</v>
      </c>
    </row>
    <row r="167" spans="1:9" x14ac:dyDescent="0.25">
      <c r="A167" s="35">
        <v>44885</v>
      </c>
      <c r="B167" s="36" t="s">
        <v>73</v>
      </c>
      <c r="C167" s="36" t="s">
        <v>73</v>
      </c>
      <c r="D167">
        <v>4633.79</v>
      </c>
      <c r="E167" s="36" t="s">
        <v>52</v>
      </c>
      <c r="F167" s="36" t="s">
        <v>53</v>
      </c>
      <c r="G167" s="36" t="s">
        <v>63</v>
      </c>
      <c r="H167" s="36" t="s">
        <v>14</v>
      </c>
      <c r="I167" s="36" t="s">
        <v>49</v>
      </c>
    </row>
    <row r="168" spans="1:9" x14ac:dyDescent="0.25">
      <c r="A168" s="35">
        <v>44885</v>
      </c>
      <c r="B168" s="36" t="s">
        <v>73</v>
      </c>
      <c r="C168" s="36" t="s">
        <v>73</v>
      </c>
      <c r="D168">
        <v>363.82</v>
      </c>
      <c r="E168" s="36" t="s">
        <v>11</v>
      </c>
      <c r="F168" s="36" t="s">
        <v>50</v>
      </c>
      <c r="G168" s="36" t="s">
        <v>62</v>
      </c>
      <c r="H168" s="36" t="s">
        <v>14</v>
      </c>
      <c r="I168" s="36" t="s">
        <v>49</v>
      </c>
    </row>
    <row r="169" spans="1:9" x14ac:dyDescent="0.25">
      <c r="A169" s="35">
        <v>44886</v>
      </c>
      <c r="B169" s="36" t="s">
        <v>73</v>
      </c>
      <c r="C169" s="36" t="s">
        <v>73</v>
      </c>
      <c r="D169">
        <v>95.14</v>
      </c>
      <c r="E169" s="36" t="s">
        <v>11</v>
      </c>
      <c r="F169" s="36" t="s">
        <v>42</v>
      </c>
      <c r="G169" s="36" t="s">
        <v>44</v>
      </c>
      <c r="H169" s="36" t="s">
        <v>14</v>
      </c>
      <c r="I169" s="36" t="s">
        <v>49</v>
      </c>
    </row>
    <row r="170" spans="1:9" x14ac:dyDescent="0.25">
      <c r="A170" s="35">
        <v>44886</v>
      </c>
      <c r="B170" s="36" t="s">
        <v>73</v>
      </c>
      <c r="C170" s="36" t="s">
        <v>73</v>
      </c>
      <c r="D170">
        <v>206.52</v>
      </c>
      <c r="E170" s="36" t="s">
        <v>11</v>
      </c>
      <c r="F170" s="36" t="s">
        <v>42</v>
      </c>
      <c r="G170" s="36" t="s">
        <v>43</v>
      </c>
      <c r="H170" s="36" t="s">
        <v>14</v>
      </c>
      <c r="I170" s="36" t="s">
        <v>49</v>
      </c>
    </row>
    <row r="171" spans="1:9" x14ac:dyDescent="0.25">
      <c r="A171" s="35">
        <v>44887</v>
      </c>
      <c r="B171" s="36" t="s">
        <v>73</v>
      </c>
      <c r="C171" s="36" t="s">
        <v>73</v>
      </c>
      <c r="D171">
        <v>80</v>
      </c>
      <c r="E171" s="36" t="s">
        <v>11</v>
      </c>
      <c r="F171" s="36" t="s">
        <v>39</v>
      </c>
      <c r="G171" s="36" t="s">
        <v>46</v>
      </c>
      <c r="H171" s="36" t="s">
        <v>14</v>
      </c>
      <c r="I171" s="36" t="s">
        <v>49</v>
      </c>
    </row>
    <row r="172" spans="1:9" x14ac:dyDescent="0.25">
      <c r="A172" s="35">
        <v>44888</v>
      </c>
      <c r="B172" s="36" t="s">
        <v>73</v>
      </c>
      <c r="C172" s="36" t="s">
        <v>73</v>
      </c>
      <c r="D172">
        <v>100</v>
      </c>
      <c r="E172" s="36" t="s">
        <v>11</v>
      </c>
      <c r="F172" s="36" t="s">
        <v>37</v>
      </c>
      <c r="G172" s="36" t="s">
        <v>38</v>
      </c>
      <c r="H172" s="36" t="s">
        <v>36</v>
      </c>
      <c r="I172" s="36" t="s">
        <v>49</v>
      </c>
    </row>
    <row r="173" spans="1:9" x14ac:dyDescent="0.25">
      <c r="A173" s="35">
        <v>44888</v>
      </c>
      <c r="B173" s="36" t="s">
        <v>73</v>
      </c>
      <c r="C173" s="36" t="s">
        <v>73</v>
      </c>
      <c r="D173">
        <v>9.9</v>
      </c>
      <c r="E173" s="36" t="s">
        <v>11</v>
      </c>
      <c r="F173" s="36" t="s">
        <v>28</v>
      </c>
      <c r="G173" s="36" t="s">
        <v>30</v>
      </c>
      <c r="H173" s="36" t="s">
        <v>25</v>
      </c>
      <c r="I173" s="36" t="s">
        <v>41</v>
      </c>
    </row>
    <row r="174" spans="1:9" x14ac:dyDescent="0.25">
      <c r="A174" s="35">
        <v>44888</v>
      </c>
      <c r="B174" s="36" t="s">
        <v>73</v>
      </c>
      <c r="C174" s="36" t="s">
        <v>73</v>
      </c>
      <c r="D174">
        <v>8.9</v>
      </c>
      <c r="E174" s="36" t="s">
        <v>11</v>
      </c>
      <c r="F174" s="36" t="s">
        <v>28</v>
      </c>
      <c r="G174" s="36" t="s">
        <v>29</v>
      </c>
      <c r="H174" s="36" t="s">
        <v>25</v>
      </c>
      <c r="I174" s="36" t="s">
        <v>41</v>
      </c>
    </row>
    <row r="175" spans="1:9" x14ac:dyDescent="0.25">
      <c r="A175" s="35">
        <v>44890</v>
      </c>
      <c r="B175" s="36" t="s">
        <v>73</v>
      </c>
      <c r="C175" s="36" t="s">
        <v>73</v>
      </c>
      <c r="D175">
        <v>30.24</v>
      </c>
      <c r="E175" s="36" t="s">
        <v>11</v>
      </c>
      <c r="F175" s="36" t="s">
        <v>39</v>
      </c>
      <c r="G175" s="36" t="s">
        <v>40</v>
      </c>
      <c r="H175" s="36" t="s">
        <v>14</v>
      </c>
      <c r="I175" s="36" t="s">
        <v>49</v>
      </c>
    </row>
    <row r="176" spans="1:9" x14ac:dyDescent="0.25">
      <c r="A176" s="35">
        <v>44900</v>
      </c>
      <c r="B176" s="36" t="s">
        <v>74</v>
      </c>
      <c r="C176" s="36" t="s">
        <v>74</v>
      </c>
      <c r="D176">
        <v>320</v>
      </c>
      <c r="E176" s="36" t="s">
        <v>11</v>
      </c>
      <c r="F176" s="36" t="s">
        <v>12</v>
      </c>
      <c r="G176" s="36" t="s">
        <v>13</v>
      </c>
      <c r="H176" s="36" t="s">
        <v>14</v>
      </c>
      <c r="I176" s="36" t="s">
        <v>49</v>
      </c>
    </row>
    <row r="177" spans="1:9" x14ac:dyDescent="0.25">
      <c r="A177" s="35">
        <v>44900</v>
      </c>
      <c r="B177" s="36" t="s">
        <v>74</v>
      </c>
      <c r="C177" s="36" t="s">
        <v>74</v>
      </c>
      <c r="D177">
        <v>7.97</v>
      </c>
      <c r="E177" s="36" t="s">
        <v>11</v>
      </c>
      <c r="F177" s="36" t="s">
        <v>47</v>
      </c>
      <c r="G177" s="36" t="s">
        <v>48</v>
      </c>
      <c r="H177" s="36" t="s">
        <v>14</v>
      </c>
      <c r="I177" s="36" t="s">
        <v>49</v>
      </c>
    </row>
    <row r="178" spans="1:9" x14ac:dyDescent="0.25">
      <c r="A178" s="35">
        <v>44900</v>
      </c>
      <c r="B178" s="36" t="s">
        <v>74</v>
      </c>
      <c r="C178" s="36" t="s">
        <v>74</v>
      </c>
      <c r="D178">
        <v>294.10000000000002</v>
      </c>
      <c r="E178" s="36" t="s">
        <v>11</v>
      </c>
      <c r="F178" s="36" t="s">
        <v>50</v>
      </c>
      <c r="G178" s="36" t="s">
        <v>51</v>
      </c>
      <c r="H178" s="36" t="s">
        <v>14</v>
      </c>
      <c r="I178" s="36" t="s">
        <v>49</v>
      </c>
    </row>
    <row r="179" spans="1:9" x14ac:dyDescent="0.25">
      <c r="A179" s="35">
        <v>44900</v>
      </c>
      <c r="B179" s="36" t="s">
        <v>74</v>
      </c>
      <c r="C179" s="36" t="s">
        <v>74</v>
      </c>
      <c r="D179">
        <v>4134.37</v>
      </c>
      <c r="E179" s="36" t="s">
        <v>52</v>
      </c>
      <c r="F179" s="36" t="s">
        <v>53</v>
      </c>
      <c r="G179" s="36" t="s">
        <v>54</v>
      </c>
      <c r="H179" s="36" t="s">
        <v>14</v>
      </c>
      <c r="I179" s="36" t="s">
        <v>49</v>
      </c>
    </row>
    <row r="180" spans="1:9" x14ac:dyDescent="0.25">
      <c r="A180" s="35">
        <v>44900</v>
      </c>
      <c r="B180" s="36" t="s">
        <v>74</v>
      </c>
      <c r="C180" s="36" t="s">
        <v>74</v>
      </c>
      <c r="D180">
        <v>350</v>
      </c>
      <c r="E180" s="36" t="s">
        <v>11</v>
      </c>
      <c r="F180" s="36" t="s">
        <v>55</v>
      </c>
      <c r="G180" s="36" t="s">
        <v>55</v>
      </c>
      <c r="H180" s="36" t="s">
        <v>14</v>
      </c>
      <c r="I180" s="36" t="s">
        <v>49</v>
      </c>
    </row>
    <row r="181" spans="1:9" x14ac:dyDescent="0.25">
      <c r="A181" s="35">
        <v>44900</v>
      </c>
      <c r="B181" s="36" t="s">
        <v>74</v>
      </c>
      <c r="C181" s="36" t="s">
        <v>74</v>
      </c>
      <c r="D181">
        <v>1447.03</v>
      </c>
      <c r="E181" s="36" t="s">
        <v>11</v>
      </c>
      <c r="F181" s="36" t="s">
        <v>56</v>
      </c>
      <c r="G181" s="36" t="s">
        <v>57</v>
      </c>
      <c r="H181" s="36" t="s">
        <v>14</v>
      </c>
      <c r="I181" s="36" t="s">
        <v>41</v>
      </c>
    </row>
    <row r="182" spans="1:9" x14ac:dyDescent="0.25">
      <c r="A182" s="35">
        <v>44905</v>
      </c>
      <c r="B182" s="36" t="s">
        <v>74</v>
      </c>
      <c r="C182" s="36" t="s">
        <v>74</v>
      </c>
      <c r="D182">
        <v>25.83</v>
      </c>
      <c r="E182" s="36" t="s">
        <v>11</v>
      </c>
      <c r="F182" s="36" t="s">
        <v>16</v>
      </c>
      <c r="G182" s="36" t="s">
        <v>17</v>
      </c>
      <c r="H182" s="36" t="s">
        <v>14</v>
      </c>
      <c r="I182" s="36" t="s">
        <v>49</v>
      </c>
    </row>
    <row r="183" spans="1:9" x14ac:dyDescent="0.25">
      <c r="A183" s="35">
        <v>44905</v>
      </c>
      <c r="B183" s="36" t="s">
        <v>74</v>
      </c>
      <c r="C183" s="36" t="s">
        <v>74</v>
      </c>
      <c r="D183">
        <v>520.24</v>
      </c>
      <c r="E183" s="36" t="s">
        <v>11</v>
      </c>
      <c r="F183" s="36" t="s">
        <v>16</v>
      </c>
      <c r="G183" s="36" t="s">
        <v>18</v>
      </c>
      <c r="H183" s="36" t="s">
        <v>14</v>
      </c>
      <c r="I183" s="36" t="s">
        <v>49</v>
      </c>
    </row>
    <row r="184" spans="1:9" x14ac:dyDescent="0.25">
      <c r="A184" s="35">
        <v>44905</v>
      </c>
      <c r="B184" s="36" t="s">
        <v>74</v>
      </c>
      <c r="C184" s="36" t="s">
        <v>74</v>
      </c>
      <c r="D184">
        <v>650.49</v>
      </c>
      <c r="E184" s="36" t="s">
        <v>11</v>
      </c>
      <c r="F184" s="36" t="s">
        <v>16</v>
      </c>
      <c r="G184" s="36" t="s">
        <v>19</v>
      </c>
      <c r="H184" s="36" t="s">
        <v>14</v>
      </c>
      <c r="I184" s="36" t="s">
        <v>49</v>
      </c>
    </row>
    <row r="185" spans="1:9" x14ac:dyDescent="0.25">
      <c r="A185" s="35">
        <v>44905</v>
      </c>
      <c r="B185" s="36" t="s">
        <v>74</v>
      </c>
      <c r="C185" s="36" t="s">
        <v>74</v>
      </c>
      <c r="D185">
        <v>69.900000000000006</v>
      </c>
      <c r="E185" s="36" t="s">
        <v>11</v>
      </c>
      <c r="F185" s="36" t="s">
        <v>58</v>
      </c>
      <c r="G185" s="36" t="s">
        <v>59</v>
      </c>
      <c r="H185" s="36" t="s">
        <v>14</v>
      </c>
      <c r="I185" s="36" t="s">
        <v>49</v>
      </c>
    </row>
    <row r="186" spans="1:9" x14ac:dyDescent="0.25">
      <c r="A186" s="35">
        <v>44910</v>
      </c>
      <c r="B186" s="36" t="s">
        <v>74</v>
      </c>
      <c r="C186" s="36" t="s">
        <v>74</v>
      </c>
      <c r="D186">
        <v>14.9</v>
      </c>
      <c r="E186" s="36" t="s">
        <v>11</v>
      </c>
      <c r="F186" s="36" t="s">
        <v>26</v>
      </c>
      <c r="G186" s="36" t="s">
        <v>60</v>
      </c>
      <c r="H186" s="36" t="s">
        <v>14</v>
      </c>
      <c r="I186" s="36" t="s">
        <v>49</v>
      </c>
    </row>
    <row r="187" spans="1:9" x14ac:dyDescent="0.25">
      <c r="A187" s="35">
        <v>44910</v>
      </c>
      <c r="B187" s="36" t="s">
        <v>74</v>
      </c>
      <c r="C187" s="36" t="s">
        <v>74</v>
      </c>
      <c r="D187">
        <v>99</v>
      </c>
      <c r="E187" s="36" t="s">
        <v>11</v>
      </c>
      <c r="F187" s="36" t="s">
        <v>58</v>
      </c>
      <c r="G187" s="36" t="s">
        <v>61</v>
      </c>
      <c r="H187" s="36" t="s">
        <v>14</v>
      </c>
      <c r="I187" s="36" t="s">
        <v>49</v>
      </c>
    </row>
    <row r="188" spans="1:9" x14ac:dyDescent="0.25">
      <c r="A188" s="35">
        <v>44915</v>
      </c>
      <c r="B188" s="36" t="s">
        <v>74</v>
      </c>
      <c r="C188" s="36" t="s">
        <v>74</v>
      </c>
      <c r="D188">
        <v>363.82</v>
      </c>
      <c r="E188" s="36" t="s">
        <v>11</v>
      </c>
      <c r="F188" s="36" t="s">
        <v>50</v>
      </c>
      <c r="G188" s="36" t="s">
        <v>62</v>
      </c>
      <c r="H188" s="36" t="s">
        <v>14</v>
      </c>
      <c r="I188" s="36" t="s">
        <v>49</v>
      </c>
    </row>
    <row r="189" spans="1:9" x14ac:dyDescent="0.25">
      <c r="A189" s="35">
        <v>44915</v>
      </c>
      <c r="B189" s="36" t="s">
        <v>74</v>
      </c>
      <c r="C189" s="36" t="s">
        <v>74</v>
      </c>
      <c r="D189">
        <v>4633.79</v>
      </c>
      <c r="E189" s="36" t="s">
        <v>52</v>
      </c>
      <c r="F189" s="36" t="s">
        <v>53</v>
      </c>
      <c r="G189" s="36" t="s">
        <v>63</v>
      </c>
      <c r="H189" s="36" t="s">
        <v>14</v>
      </c>
      <c r="I189" s="36" t="s">
        <v>49</v>
      </c>
    </row>
    <row r="190" spans="1:9" x14ac:dyDescent="0.25">
      <c r="A190" s="35">
        <v>44916</v>
      </c>
      <c r="B190" s="36" t="s">
        <v>74</v>
      </c>
      <c r="C190" s="36" t="s">
        <v>74</v>
      </c>
      <c r="D190">
        <v>206.52</v>
      </c>
      <c r="E190" s="36" t="s">
        <v>11</v>
      </c>
      <c r="F190" s="36" t="s">
        <v>42</v>
      </c>
      <c r="G190" s="36" t="s">
        <v>43</v>
      </c>
      <c r="H190" s="36" t="s">
        <v>14</v>
      </c>
      <c r="I190" s="36" t="s">
        <v>49</v>
      </c>
    </row>
    <row r="191" spans="1:9" x14ac:dyDescent="0.25">
      <c r="A191" s="35">
        <v>44916</v>
      </c>
      <c r="B191" s="36" t="s">
        <v>74</v>
      </c>
      <c r="C191" s="36" t="s">
        <v>74</v>
      </c>
      <c r="D191">
        <v>95.14</v>
      </c>
      <c r="E191" s="36" t="s">
        <v>11</v>
      </c>
      <c r="F191" s="36" t="s">
        <v>42</v>
      </c>
      <c r="G191" s="36" t="s">
        <v>44</v>
      </c>
      <c r="H191" s="36" t="s">
        <v>14</v>
      </c>
      <c r="I191" s="36" t="s">
        <v>49</v>
      </c>
    </row>
    <row r="192" spans="1:9" x14ac:dyDescent="0.25">
      <c r="A192" s="35">
        <v>44917</v>
      </c>
      <c r="B192" s="36" t="s">
        <v>74</v>
      </c>
      <c r="C192" s="36" t="s">
        <v>74</v>
      </c>
      <c r="D192">
        <v>80</v>
      </c>
      <c r="E192" s="36" t="s">
        <v>11</v>
      </c>
      <c r="F192" s="36" t="s">
        <v>39</v>
      </c>
      <c r="G192" s="36" t="s">
        <v>46</v>
      </c>
      <c r="H192" s="36" t="s">
        <v>14</v>
      </c>
      <c r="I192" s="36" t="s">
        <v>49</v>
      </c>
    </row>
    <row r="193" spans="1:9" x14ac:dyDescent="0.25">
      <c r="A193" s="35">
        <v>44918</v>
      </c>
      <c r="B193" s="36" t="s">
        <v>74</v>
      </c>
      <c r="C193" s="36" t="s">
        <v>74</v>
      </c>
      <c r="D193">
        <v>8.9</v>
      </c>
      <c r="E193" s="36" t="s">
        <v>11</v>
      </c>
      <c r="F193" s="36" t="s">
        <v>28</v>
      </c>
      <c r="G193" s="36" t="s">
        <v>29</v>
      </c>
      <c r="H193" s="36" t="s">
        <v>25</v>
      </c>
      <c r="I193" s="36" t="s">
        <v>41</v>
      </c>
    </row>
    <row r="194" spans="1:9" x14ac:dyDescent="0.25">
      <c r="A194" s="35">
        <v>44918</v>
      </c>
      <c r="B194" s="36" t="s">
        <v>74</v>
      </c>
      <c r="C194" s="36" t="s">
        <v>74</v>
      </c>
      <c r="D194">
        <v>9.9</v>
      </c>
      <c r="E194" s="36" t="s">
        <v>11</v>
      </c>
      <c r="F194" s="36" t="s">
        <v>28</v>
      </c>
      <c r="G194" s="36" t="s">
        <v>30</v>
      </c>
      <c r="H194" s="36" t="s">
        <v>25</v>
      </c>
      <c r="I194" s="36" t="s">
        <v>41</v>
      </c>
    </row>
    <row r="195" spans="1:9" x14ac:dyDescent="0.25">
      <c r="A195" s="35">
        <v>44918</v>
      </c>
      <c r="B195" s="36" t="s">
        <v>74</v>
      </c>
      <c r="C195" s="36" t="s">
        <v>74</v>
      </c>
      <c r="D195">
        <v>100</v>
      </c>
      <c r="E195" s="36" t="s">
        <v>11</v>
      </c>
      <c r="F195" s="36" t="s">
        <v>37</v>
      </c>
      <c r="G195" s="36" t="s">
        <v>38</v>
      </c>
      <c r="H195" s="36" t="s">
        <v>36</v>
      </c>
      <c r="I195" s="36" t="s">
        <v>49</v>
      </c>
    </row>
    <row r="196" spans="1:9" x14ac:dyDescent="0.25">
      <c r="A196" s="35">
        <v>44920</v>
      </c>
      <c r="B196" s="36" t="s">
        <v>74</v>
      </c>
      <c r="C196" s="36" t="s">
        <v>74</v>
      </c>
      <c r="D196">
        <v>30.24</v>
      </c>
      <c r="E196" s="36" t="s">
        <v>11</v>
      </c>
      <c r="F196" s="36" t="s">
        <v>39</v>
      </c>
      <c r="G196" s="36" t="s">
        <v>40</v>
      </c>
      <c r="H196" s="36" t="s">
        <v>14</v>
      </c>
      <c r="I196" s="36" t="s">
        <v>49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8B932-3194-401E-A3F1-5104447A76EF}">
  <dimension ref="A1:I196"/>
  <sheetViews>
    <sheetView tabSelected="1" workbookViewId="0">
      <selection activeCell="C1" sqref="C1:C1048576"/>
    </sheetView>
  </sheetViews>
  <sheetFormatPr defaultRowHeight="15" x14ac:dyDescent="0.25"/>
  <cols>
    <col min="1" max="1" width="11.85546875" style="15" bestFit="1" customWidth="1"/>
    <col min="2" max="2" width="10.85546875" style="16" bestFit="1" customWidth="1"/>
    <col min="3" max="3" width="10.42578125" style="42" bestFit="1" customWidth="1"/>
    <col min="4" max="4" width="11.85546875" style="17" bestFit="1" customWidth="1"/>
    <col min="5" max="5" width="10.7109375" style="16" bestFit="1" customWidth="1"/>
    <col min="6" max="6" width="17.28515625" style="18" bestFit="1" customWidth="1"/>
    <col min="7" max="7" width="41.140625" style="18" bestFit="1" customWidth="1"/>
    <col min="8" max="8" width="30.140625" style="18" bestFit="1" customWidth="1"/>
    <col min="9" max="9" width="13" style="18" bestFit="1" customWidth="1"/>
    <col min="10" max="16384" width="9.140625" style="18"/>
  </cols>
  <sheetData>
    <row r="1" spans="1:9" s="14" customFormat="1" ht="18.75" x14ac:dyDescent="0.25">
      <c r="A1" s="24" t="s">
        <v>1</v>
      </c>
      <c r="B1" s="25" t="s">
        <v>8</v>
      </c>
      <c r="C1" s="39" t="s">
        <v>9</v>
      </c>
      <c r="D1" s="26" t="s">
        <v>2</v>
      </c>
      <c r="E1" s="25" t="s">
        <v>3</v>
      </c>
      <c r="F1" s="25" t="s">
        <v>4</v>
      </c>
      <c r="G1" s="25" t="s">
        <v>5</v>
      </c>
      <c r="H1" s="25" t="s">
        <v>6</v>
      </c>
      <c r="I1" s="27" t="s">
        <v>7</v>
      </c>
    </row>
    <row r="2" spans="1:9" s="14" customFormat="1" ht="18.75" x14ac:dyDescent="0.25">
      <c r="A2" s="10">
        <v>43831</v>
      </c>
      <c r="B2" s="19" t="str">
        <f>IF(A2&lt;&gt;"",VLOOKUP(MONTH(A2),Apoio!$A$2:$B$13,2,0),"")</f>
        <v>Jan</v>
      </c>
      <c r="C2" s="40">
        <f>IF(A2&lt;&gt;"",YEAR(Tabela1[[#This Row],[Data]]),"")</f>
        <v>2020</v>
      </c>
      <c r="D2" s="11">
        <v>11111</v>
      </c>
      <c r="E2" s="12" t="s">
        <v>52</v>
      </c>
      <c r="F2" s="12" t="s">
        <v>53</v>
      </c>
      <c r="G2" s="13" t="s">
        <v>91</v>
      </c>
      <c r="H2" s="12" t="s">
        <v>14</v>
      </c>
      <c r="I2" s="12" t="s">
        <v>79</v>
      </c>
    </row>
    <row r="3" spans="1:9" s="14" customFormat="1" ht="18.75" x14ac:dyDescent="0.25">
      <c r="A3" s="10">
        <v>43845</v>
      </c>
      <c r="B3" s="19" t="str">
        <f>IF(A3&lt;&gt;"",VLOOKUP(MONTH(A3),Apoio!$A$2:$B$13,2,0),"")</f>
        <v>Jan</v>
      </c>
      <c r="C3" s="40">
        <f>IF(A3&lt;&gt;"",YEAR(Tabela1[[#This Row],[Data]]),"")</f>
        <v>2020</v>
      </c>
      <c r="D3" s="11">
        <v>321</v>
      </c>
      <c r="E3" s="12" t="s">
        <v>11</v>
      </c>
      <c r="F3" s="12" t="s">
        <v>32</v>
      </c>
      <c r="G3" s="13" t="s">
        <v>93</v>
      </c>
      <c r="H3" s="12" t="s">
        <v>25</v>
      </c>
      <c r="I3" s="12" t="s">
        <v>41</v>
      </c>
    </row>
    <row r="4" spans="1:9" s="14" customFormat="1" ht="18.75" x14ac:dyDescent="0.25">
      <c r="A4" s="10">
        <v>43862</v>
      </c>
      <c r="B4" s="19" t="str">
        <f>IF(A4&lt;&gt;"",VLOOKUP(MONTH(A4),Apoio!$A$2:$B$13,2,0),"")</f>
        <v>Fev</v>
      </c>
      <c r="C4" s="40">
        <f>IF(A4&lt;&gt;"",YEAR(Tabela1[[#This Row],[Data]]),"")</f>
        <v>2020</v>
      </c>
      <c r="D4" s="11">
        <v>222</v>
      </c>
      <c r="E4" s="12" t="s">
        <v>11</v>
      </c>
      <c r="F4" s="12" t="s">
        <v>89</v>
      </c>
      <c r="G4" s="13" t="s">
        <v>92</v>
      </c>
      <c r="H4" s="12" t="s">
        <v>36</v>
      </c>
      <c r="I4" s="12" t="s">
        <v>49</v>
      </c>
    </row>
    <row r="5" spans="1:9" ht="15.75" x14ac:dyDescent="0.25">
      <c r="A5" s="22">
        <v>44656</v>
      </c>
      <c r="B5" s="19" t="str">
        <f>IF(A5&lt;&gt;"",VLOOKUP(MONTH(A5),Apoio!$A$2:$B$13,2,0),"")</f>
        <v>Abr</v>
      </c>
      <c r="C5" s="40">
        <f>IF(A5&lt;&gt;"",YEAR(Tabela1[[#This Row],[Data]]),"")</f>
        <v>2022</v>
      </c>
      <c r="D5" s="20">
        <v>320</v>
      </c>
      <c r="E5" s="19" t="s">
        <v>11</v>
      </c>
      <c r="F5" s="21" t="s">
        <v>12</v>
      </c>
      <c r="G5" s="21" t="s">
        <v>13</v>
      </c>
      <c r="H5" s="21" t="s">
        <v>14</v>
      </c>
      <c r="I5" s="23" t="s">
        <v>15</v>
      </c>
    </row>
    <row r="6" spans="1:9" ht="15.75" x14ac:dyDescent="0.25">
      <c r="A6" s="22">
        <v>44661</v>
      </c>
      <c r="B6" s="19" t="str">
        <f>IF(A6&lt;&gt;"",VLOOKUP(MONTH(A6),Apoio!$A$2:$B$13,2,0),"")</f>
        <v>Abr</v>
      </c>
      <c r="C6" s="40">
        <f>IF(A6&lt;&gt;"",YEAR(Tabela1[[#This Row],[Data]]),"")</f>
        <v>2022</v>
      </c>
      <c r="D6" s="20">
        <v>25.83</v>
      </c>
      <c r="E6" s="19" t="s">
        <v>11</v>
      </c>
      <c r="F6" s="21" t="s">
        <v>16</v>
      </c>
      <c r="G6" s="21" t="s">
        <v>17</v>
      </c>
      <c r="H6" s="21" t="s">
        <v>14</v>
      </c>
      <c r="I6" s="23" t="s">
        <v>15</v>
      </c>
    </row>
    <row r="7" spans="1:9" ht="15.75" x14ac:dyDescent="0.25">
      <c r="A7" s="22">
        <v>44661</v>
      </c>
      <c r="B7" s="19" t="str">
        <f>IF(A7&lt;&gt;"",VLOOKUP(MONTH(A7),Apoio!$A$2:$B$13,2,0),"")</f>
        <v>Abr</v>
      </c>
      <c r="C7" s="40">
        <f>IF(A7&lt;&gt;"",YEAR(Tabela1[[#This Row],[Data]]),"")</f>
        <v>2022</v>
      </c>
      <c r="D7" s="20">
        <v>520.24</v>
      </c>
      <c r="E7" s="19" t="s">
        <v>11</v>
      </c>
      <c r="F7" s="21" t="s">
        <v>16</v>
      </c>
      <c r="G7" s="21" t="s">
        <v>18</v>
      </c>
      <c r="H7" s="21" t="s">
        <v>14</v>
      </c>
      <c r="I7" s="23" t="s">
        <v>15</v>
      </c>
    </row>
    <row r="8" spans="1:9" ht="15.75" x14ac:dyDescent="0.25">
      <c r="A8" s="22">
        <v>44661</v>
      </c>
      <c r="B8" s="19" t="str">
        <f>IF(A8&lt;&gt;"",VLOOKUP(MONTH(A8),Apoio!$A$2:$B$13,2,0),"")</f>
        <v>Abr</v>
      </c>
      <c r="C8" s="40">
        <f>IF(A8&lt;&gt;"",YEAR(Tabela1[[#This Row],[Data]]),"")</f>
        <v>2022</v>
      </c>
      <c r="D8" s="20">
        <v>650.49</v>
      </c>
      <c r="E8" s="19" t="s">
        <v>11</v>
      </c>
      <c r="F8" s="21" t="s">
        <v>16</v>
      </c>
      <c r="G8" s="21" t="s">
        <v>19</v>
      </c>
      <c r="H8" s="21" t="s">
        <v>14</v>
      </c>
      <c r="I8" s="23" t="s">
        <v>15</v>
      </c>
    </row>
    <row r="9" spans="1:9" ht="15.75" x14ac:dyDescent="0.25">
      <c r="A9" s="22">
        <v>44671</v>
      </c>
      <c r="B9" s="19" t="str">
        <f>IF(A9&lt;&gt;"",VLOOKUP(MONTH(A9),Apoio!$A$2:$B$13,2,0),"")</f>
        <v>Abr</v>
      </c>
      <c r="C9" s="40">
        <f>IF(A9&lt;&gt;"",YEAR(Tabela1[[#This Row],[Data]]),"")</f>
        <v>2022</v>
      </c>
      <c r="D9" s="20">
        <v>98.58</v>
      </c>
      <c r="E9" s="19" t="s">
        <v>11</v>
      </c>
      <c r="F9" s="21" t="s">
        <v>20</v>
      </c>
      <c r="G9" s="21" t="s">
        <v>21</v>
      </c>
      <c r="H9" s="21" t="s">
        <v>14</v>
      </c>
      <c r="I9" s="23" t="s">
        <v>15</v>
      </c>
    </row>
    <row r="10" spans="1:9" ht="15.75" x14ac:dyDescent="0.25">
      <c r="A10" s="22">
        <v>44671</v>
      </c>
      <c r="B10" s="19" t="str">
        <f>IF(A10&lt;&gt;"",VLOOKUP(MONTH(A10),Apoio!$A$2:$B$13,2,0),"")</f>
        <v>Abr</v>
      </c>
      <c r="C10" s="40">
        <f>IF(A10&lt;&gt;"",YEAR(Tabela1[[#This Row],[Data]]),"")</f>
        <v>2022</v>
      </c>
      <c r="D10" s="20">
        <v>206</v>
      </c>
      <c r="E10" s="19" t="s">
        <v>11</v>
      </c>
      <c r="F10" s="21" t="s">
        <v>16</v>
      </c>
      <c r="G10" s="21" t="s">
        <v>22</v>
      </c>
      <c r="H10" s="21" t="s">
        <v>14</v>
      </c>
      <c r="I10" s="23" t="s">
        <v>15</v>
      </c>
    </row>
    <row r="11" spans="1:9" ht="15.75" x14ac:dyDescent="0.25">
      <c r="A11" s="22">
        <v>44672</v>
      </c>
      <c r="B11" s="19" t="str">
        <f>IF(A11&lt;&gt;"",VLOOKUP(MONTH(A11),Apoio!$A$2:$B$13,2,0),"")</f>
        <v>Abr</v>
      </c>
      <c r="C11" s="40">
        <f>IF(A11&lt;&gt;"",YEAR(Tabela1[[#This Row],[Data]]),"")</f>
        <v>2022</v>
      </c>
      <c r="D11" s="20">
        <v>48.21</v>
      </c>
      <c r="E11" s="19" t="s">
        <v>11</v>
      </c>
      <c r="F11" s="21" t="s">
        <v>23</v>
      </c>
      <c r="G11" s="21" t="s">
        <v>24</v>
      </c>
      <c r="H11" s="21" t="s">
        <v>25</v>
      </c>
      <c r="I11" s="23" t="s">
        <v>15</v>
      </c>
    </row>
    <row r="12" spans="1:9" ht="15.75" x14ac:dyDescent="0.25">
      <c r="A12" s="22">
        <v>44672</v>
      </c>
      <c r="B12" s="19" t="str">
        <f>IF(A12&lt;&gt;"",VLOOKUP(MONTH(A12),Apoio!$A$2:$B$13,2,0),"")</f>
        <v>Abr</v>
      </c>
      <c r="C12" s="40">
        <f>IF(A12&lt;&gt;"",YEAR(Tabela1[[#This Row],[Data]]),"")</f>
        <v>2022</v>
      </c>
      <c r="D12" s="20">
        <v>47</v>
      </c>
      <c r="E12" s="19" t="s">
        <v>11</v>
      </c>
      <c r="F12" s="21" t="s">
        <v>26</v>
      </c>
      <c r="G12" s="21" t="s">
        <v>27</v>
      </c>
      <c r="H12" s="21" t="s">
        <v>25</v>
      </c>
      <c r="I12" s="23" t="s">
        <v>15</v>
      </c>
    </row>
    <row r="13" spans="1:9" ht="15.75" x14ac:dyDescent="0.25">
      <c r="A13" s="22">
        <v>44672</v>
      </c>
      <c r="B13" s="19" t="str">
        <f>IF(A13&lt;&gt;"",VLOOKUP(MONTH(A13),Apoio!$A$2:$B$13,2,0),"")</f>
        <v>Abr</v>
      </c>
      <c r="C13" s="40">
        <f>IF(A13&lt;&gt;"",YEAR(Tabela1[[#This Row],[Data]]),"")</f>
        <v>2022</v>
      </c>
      <c r="D13" s="20">
        <v>6.9</v>
      </c>
      <c r="E13" s="19" t="s">
        <v>11</v>
      </c>
      <c r="F13" s="21" t="s">
        <v>28</v>
      </c>
      <c r="G13" s="21" t="s">
        <v>29</v>
      </c>
      <c r="H13" s="21" t="s">
        <v>25</v>
      </c>
      <c r="I13" s="23" t="s">
        <v>15</v>
      </c>
    </row>
    <row r="14" spans="1:9" ht="15.75" x14ac:dyDescent="0.25">
      <c r="A14" s="22">
        <v>44672</v>
      </c>
      <c r="B14" s="19" t="str">
        <f>IF(A14&lt;&gt;"",VLOOKUP(MONTH(A14),Apoio!$A$2:$B$13,2,0),"")</f>
        <v>Abr</v>
      </c>
      <c r="C14" s="40">
        <f>IF(A14&lt;&gt;"",YEAR(Tabela1[[#This Row],[Data]]),"")</f>
        <v>2022</v>
      </c>
      <c r="D14" s="20">
        <v>9.9</v>
      </c>
      <c r="E14" s="19" t="s">
        <v>11</v>
      </c>
      <c r="F14" s="21" t="s">
        <v>28</v>
      </c>
      <c r="G14" s="21" t="s">
        <v>30</v>
      </c>
      <c r="H14" s="21" t="s">
        <v>25</v>
      </c>
      <c r="I14" s="23" t="s">
        <v>15</v>
      </c>
    </row>
    <row r="15" spans="1:9" ht="15.75" x14ac:dyDescent="0.25">
      <c r="A15" s="22">
        <v>44672</v>
      </c>
      <c r="B15" s="19" t="str">
        <f>IF(A15&lt;&gt;"",VLOOKUP(MONTH(A15),Apoio!$A$2:$B$13,2,0),"")</f>
        <v>Abr</v>
      </c>
      <c r="C15" s="40">
        <f>IF(A15&lt;&gt;"",YEAR(Tabela1[[#This Row],[Data]]),"")</f>
        <v>2022</v>
      </c>
      <c r="D15" s="20">
        <v>55.1</v>
      </c>
      <c r="E15" s="19" t="s">
        <v>11</v>
      </c>
      <c r="F15" s="21" t="s">
        <v>20</v>
      </c>
      <c r="G15" s="21" t="s">
        <v>31</v>
      </c>
      <c r="H15" s="21" t="s">
        <v>25</v>
      </c>
      <c r="I15" s="23" t="s">
        <v>15</v>
      </c>
    </row>
    <row r="16" spans="1:9" ht="15.75" x14ac:dyDescent="0.25">
      <c r="A16" s="22">
        <v>44672</v>
      </c>
      <c r="B16" s="19" t="str">
        <f>IF(A16&lt;&gt;"",VLOOKUP(MONTH(A16),Apoio!$A$2:$B$13,2,0),"")</f>
        <v>Abr</v>
      </c>
      <c r="C16" s="40">
        <f>IF(A16&lt;&gt;"",YEAR(Tabela1[[#This Row],[Data]]),"")</f>
        <v>2022</v>
      </c>
      <c r="D16" s="20">
        <v>172.75</v>
      </c>
      <c r="E16" s="19" t="s">
        <v>11</v>
      </c>
      <c r="F16" s="21" t="s">
        <v>32</v>
      </c>
      <c r="G16" s="21" t="s">
        <v>33</v>
      </c>
      <c r="H16" s="21" t="s">
        <v>25</v>
      </c>
      <c r="I16" s="23" t="s">
        <v>15</v>
      </c>
    </row>
    <row r="17" spans="1:9" ht="15.75" x14ac:dyDescent="0.25">
      <c r="A17" s="22">
        <v>44673</v>
      </c>
      <c r="B17" s="19" t="str">
        <f>IF(A17&lt;&gt;"",VLOOKUP(MONTH(A17),Apoio!$A$2:$B$13,2,0),"")</f>
        <v>Abr</v>
      </c>
      <c r="C17" s="40">
        <f>IF(A17&lt;&gt;"",YEAR(Tabela1[[#This Row],[Data]]),"")</f>
        <v>2022</v>
      </c>
      <c r="D17" s="20">
        <v>12</v>
      </c>
      <c r="E17" s="19" t="s">
        <v>11</v>
      </c>
      <c r="F17" s="21" t="s">
        <v>34</v>
      </c>
      <c r="G17" s="21" t="s">
        <v>35</v>
      </c>
      <c r="H17" s="21" t="s">
        <v>36</v>
      </c>
      <c r="I17" s="23" t="s">
        <v>15</v>
      </c>
    </row>
    <row r="18" spans="1:9" ht="15.75" x14ac:dyDescent="0.25">
      <c r="A18" s="22">
        <v>44674</v>
      </c>
      <c r="B18" s="19" t="str">
        <f>IF(A18&lt;&gt;"",VLOOKUP(MONTH(A18),Apoio!$A$2:$B$13,2,0),"")</f>
        <v>Abr</v>
      </c>
      <c r="C18" s="40">
        <f>IF(A18&lt;&gt;"",YEAR(Tabela1[[#This Row],[Data]]),"")</f>
        <v>2022</v>
      </c>
      <c r="D18" s="20">
        <v>100</v>
      </c>
      <c r="E18" s="19" t="s">
        <v>11</v>
      </c>
      <c r="F18" s="21" t="s">
        <v>37</v>
      </c>
      <c r="G18" s="21" t="s">
        <v>38</v>
      </c>
      <c r="H18" s="21" t="s">
        <v>36</v>
      </c>
      <c r="I18" s="23" t="s">
        <v>15</v>
      </c>
    </row>
    <row r="19" spans="1:9" ht="15.75" x14ac:dyDescent="0.25">
      <c r="A19" s="22">
        <v>44676</v>
      </c>
      <c r="B19" s="19" t="str">
        <f>IF(A19&lt;&gt;"",VLOOKUP(MONTH(A19),Apoio!$A$2:$B$13,2,0),"")</f>
        <v>Abr</v>
      </c>
      <c r="C19" s="40">
        <f>IF(A19&lt;&gt;"",YEAR(Tabela1[[#This Row],[Data]]),"")</f>
        <v>2022</v>
      </c>
      <c r="D19" s="20">
        <v>30.24</v>
      </c>
      <c r="E19" s="19" t="s">
        <v>11</v>
      </c>
      <c r="F19" s="21" t="s">
        <v>39</v>
      </c>
      <c r="G19" s="21" t="s">
        <v>40</v>
      </c>
      <c r="H19" s="21" t="s">
        <v>14</v>
      </c>
      <c r="I19" s="23" t="s">
        <v>41</v>
      </c>
    </row>
    <row r="20" spans="1:9" ht="15.75" x14ac:dyDescent="0.25">
      <c r="A20" s="22">
        <v>44676</v>
      </c>
      <c r="B20" s="19" t="str">
        <f>IF(A20&lt;&gt;"",VLOOKUP(MONTH(A20),Apoio!$A$2:$B$13,2,0),"")</f>
        <v>Abr</v>
      </c>
      <c r="C20" s="40">
        <f>IF(A20&lt;&gt;"",YEAR(Tabela1[[#This Row],[Data]]),"")</f>
        <v>2022</v>
      </c>
      <c r="D20" s="20">
        <v>206.52</v>
      </c>
      <c r="E20" s="19" t="s">
        <v>11</v>
      </c>
      <c r="F20" s="21" t="s">
        <v>42</v>
      </c>
      <c r="G20" s="21" t="s">
        <v>43</v>
      </c>
      <c r="H20" s="21" t="s">
        <v>14</v>
      </c>
      <c r="I20" s="23" t="s">
        <v>41</v>
      </c>
    </row>
    <row r="21" spans="1:9" ht="15.75" x14ac:dyDescent="0.25">
      <c r="A21" s="22">
        <v>44676</v>
      </c>
      <c r="B21" s="19" t="str">
        <f>IF(A21&lt;&gt;"",VLOOKUP(MONTH(A21),Apoio!$A$2:$B$13,2,0),"")</f>
        <v>Abr</v>
      </c>
      <c r="C21" s="40">
        <f>IF(A21&lt;&gt;"",YEAR(Tabela1[[#This Row],[Data]]),"")</f>
        <v>2022</v>
      </c>
      <c r="D21" s="20">
        <v>95.14</v>
      </c>
      <c r="E21" s="19" t="s">
        <v>11</v>
      </c>
      <c r="F21" s="21" t="s">
        <v>42</v>
      </c>
      <c r="G21" s="21" t="s">
        <v>44</v>
      </c>
      <c r="H21" s="21" t="s">
        <v>14</v>
      </c>
      <c r="I21" s="23" t="s">
        <v>41</v>
      </c>
    </row>
    <row r="22" spans="1:9" ht="15.75" x14ac:dyDescent="0.25">
      <c r="A22" s="22">
        <v>44683</v>
      </c>
      <c r="B22" s="19" t="str">
        <f>IF(A22&lt;&gt;"",VLOOKUP(MONTH(A22),Apoio!$A$2:$B$13,2,0),"")</f>
        <v>Mai</v>
      </c>
      <c r="C22" s="40">
        <f>IF(A22&lt;&gt;"",YEAR(Tabela1[[#This Row],[Data]]),"")</f>
        <v>2022</v>
      </c>
      <c r="D22" s="20">
        <v>775.73</v>
      </c>
      <c r="E22" s="19" t="s">
        <v>11</v>
      </c>
      <c r="F22" s="21" t="s">
        <v>39</v>
      </c>
      <c r="G22" s="21" t="s">
        <v>46</v>
      </c>
      <c r="H22" s="21" t="s">
        <v>14</v>
      </c>
      <c r="I22" s="23" t="s">
        <v>41</v>
      </c>
    </row>
    <row r="23" spans="1:9" ht="15.75" x14ac:dyDescent="0.25">
      <c r="A23" s="22">
        <v>44686</v>
      </c>
      <c r="B23" s="19" t="str">
        <f>IF(A23&lt;&gt;"",VLOOKUP(MONTH(A23),Apoio!$A$2:$B$13,2,0),"")</f>
        <v>Mai</v>
      </c>
      <c r="C23" s="40">
        <f>IF(A23&lt;&gt;"",YEAR(Tabela1[[#This Row],[Data]]),"")</f>
        <v>2022</v>
      </c>
      <c r="D23" s="20">
        <v>7.97</v>
      </c>
      <c r="E23" s="19" t="s">
        <v>11</v>
      </c>
      <c r="F23" s="21" t="s">
        <v>47</v>
      </c>
      <c r="G23" s="21" t="s">
        <v>48</v>
      </c>
      <c r="H23" s="21" t="s">
        <v>14</v>
      </c>
      <c r="I23" s="23" t="s">
        <v>49</v>
      </c>
    </row>
    <row r="24" spans="1:9" ht="15.75" x14ac:dyDescent="0.25">
      <c r="A24" s="22">
        <v>44686</v>
      </c>
      <c r="B24" s="19" t="str">
        <f>IF(A24&lt;&gt;"",VLOOKUP(MONTH(A24),Apoio!$A$2:$B$13,2,0),"")</f>
        <v>Mai</v>
      </c>
      <c r="C24" s="40">
        <f>IF(A24&lt;&gt;"",YEAR(Tabela1[[#This Row],[Data]]),"")</f>
        <v>2022</v>
      </c>
      <c r="D24" s="20">
        <v>294.10000000000002</v>
      </c>
      <c r="E24" s="19" t="s">
        <v>11</v>
      </c>
      <c r="F24" s="21" t="s">
        <v>50</v>
      </c>
      <c r="G24" s="21" t="s">
        <v>51</v>
      </c>
      <c r="H24" s="21" t="s">
        <v>14</v>
      </c>
      <c r="I24" s="23" t="s">
        <v>49</v>
      </c>
    </row>
    <row r="25" spans="1:9" ht="15.75" x14ac:dyDescent="0.25">
      <c r="A25" s="22">
        <v>44686</v>
      </c>
      <c r="B25" s="19" t="str">
        <f>IF(A25&lt;&gt;"",VLOOKUP(MONTH(A25),Apoio!$A$2:$B$13,2,0),"")</f>
        <v>Mai</v>
      </c>
      <c r="C25" s="40">
        <f>IF(A25&lt;&gt;"",YEAR(Tabela1[[#This Row],[Data]]),"")</f>
        <v>2022</v>
      </c>
      <c r="D25" s="20">
        <v>4134.37</v>
      </c>
      <c r="E25" s="19" t="s">
        <v>52</v>
      </c>
      <c r="F25" s="21" t="s">
        <v>53</v>
      </c>
      <c r="G25" s="21" t="s">
        <v>54</v>
      </c>
      <c r="H25" s="21" t="s">
        <v>14</v>
      </c>
      <c r="I25" s="23" t="s">
        <v>49</v>
      </c>
    </row>
    <row r="26" spans="1:9" ht="15.75" x14ac:dyDescent="0.25">
      <c r="A26" s="22">
        <v>44686</v>
      </c>
      <c r="B26" s="19" t="str">
        <f>IF(A26&lt;&gt;"",VLOOKUP(MONTH(A26),Apoio!$A$2:$B$13,2,0),"")</f>
        <v>Mai</v>
      </c>
      <c r="C26" s="40">
        <f>IF(A26&lt;&gt;"",YEAR(Tabela1[[#This Row],[Data]]),"")</f>
        <v>2022</v>
      </c>
      <c r="D26" s="20">
        <v>350</v>
      </c>
      <c r="E26" s="19" t="s">
        <v>11</v>
      </c>
      <c r="F26" s="21" t="s">
        <v>55</v>
      </c>
      <c r="G26" s="21" t="s">
        <v>55</v>
      </c>
      <c r="H26" s="21" t="s">
        <v>14</v>
      </c>
      <c r="I26" s="23" t="s">
        <v>49</v>
      </c>
    </row>
    <row r="27" spans="1:9" ht="15.75" x14ac:dyDescent="0.25">
      <c r="A27" s="22">
        <v>44686</v>
      </c>
      <c r="B27" s="19" t="str">
        <f>IF(A27&lt;&gt;"",VLOOKUP(MONTH(A27),Apoio!$A$2:$B$13,2,0),"")</f>
        <v>Mai</v>
      </c>
      <c r="C27" s="40">
        <f>IF(A27&lt;&gt;"",YEAR(Tabela1[[#This Row],[Data]]),"")</f>
        <v>2022</v>
      </c>
      <c r="D27" s="20">
        <v>1447.03</v>
      </c>
      <c r="E27" s="19" t="s">
        <v>11</v>
      </c>
      <c r="F27" s="21" t="s">
        <v>56</v>
      </c>
      <c r="G27" s="21" t="s">
        <v>57</v>
      </c>
      <c r="H27" s="21" t="s">
        <v>14</v>
      </c>
      <c r="I27" s="23" t="s">
        <v>41</v>
      </c>
    </row>
    <row r="28" spans="1:9" ht="15.75" x14ac:dyDescent="0.25">
      <c r="A28" s="22">
        <v>44686</v>
      </c>
      <c r="B28" s="19" t="str">
        <f>IF(A28&lt;&gt;"",VLOOKUP(MONTH(A28),Apoio!$A$2:$B$13,2,0),"")</f>
        <v>Mai</v>
      </c>
      <c r="C28" s="40">
        <f>IF(A28&lt;&gt;"",YEAR(Tabela1[[#This Row],[Data]]),"")</f>
        <v>2022</v>
      </c>
      <c r="D28" s="20">
        <v>320</v>
      </c>
      <c r="E28" s="19" t="s">
        <v>11</v>
      </c>
      <c r="F28" s="21" t="s">
        <v>12</v>
      </c>
      <c r="G28" s="21" t="s">
        <v>13</v>
      </c>
      <c r="H28" s="21" t="s">
        <v>14</v>
      </c>
      <c r="I28" s="23" t="s">
        <v>49</v>
      </c>
    </row>
    <row r="29" spans="1:9" ht="15.75" x14ac:dyDescent="0.25">
      <c r="A29" s="22">
        <v>44691</v>
      </c>
      <c r="B29" s="19" t="str">
        <f>IF(A29&lt;&gt;"",VLOOKUP(MONTH(A29),Apoio!$A$2:$B$13,2,0),"")</f>
        <v>Mai</v>
      </c>
      <c r="C29" s="40">
        <f>IF(A29&lt;&gt;"",YEAR(Tabela1[[#This Row],[Data]]),"")</f>
        <v>2022</v>
      </c>
      <c r="D29" s="20">
        <v>69.900000000000006</v>
      </c>
      <c r="E29" s="19" t="s">
        <v>11</v>
      </c>
      <c r="F29" s="21" t="s">
        <v>58</v>
      </c>
      <c r="G29" s="21" t="s">
        <v>59</v>
      </c>
      <c r="H29" s="21" t="s">
        <v>14</v>
      </c>
      <c r="I29" s="23" t="s">
        <v>49</v>
      </c>
    </row>
    <row r="30" spans="1:9" ht="15.75" x14ac:dyDescent="0.25">
      <c r="A30" s="22">
        <v>44691</v>
      </c>
      <c r="B30" s="19" t="str">
        <f>IF(A30&lt;&gt;"",VLOOKUP(MONTH(A30),Apoio!$A$2:$B$13,2,0),"")</f>
        <v>Mai</v>
      </c>
      <c r="C30" s="40">
        <f>IF(A30&lt;&gt;"",YEAR(Tabela1[[#This Row],[Data]]),"")</f>
        <v>2022</v>
      </c>
      <c r="D30" s="20">
        <v>650.49</v>
      </c>
      <c r="E30" s="19" t="s">
        <v>11</v>
      </c>
      <c r="F30" s="21" t="s">
        <v>16</v>
      </c>
      <c r="G30" s="21" t="s">
        <v>19</v>
      </c>
      <c r="H30" s="21" t="s">
        <v>14</v>
      </c>
      <c r="I30" s="23" t="s">
        <v>49</v>
      </c>
    </row>
    <row r="31" spans="1:9" ht="15.75" x14ac:dyDescent="0.25">
      <c r="A31" s="22">
        <v>44691</v>
      </c>
      <c r="B31" s="19" t="str">
        <f>IF(A31&lt;&gt;"",VLOOKUP(MONTH(A31),Apoio!$A$2:$B$13,2,0),"")</f>
        <v>Mai</v>
      </c>
      <c r="C31" s="40">
        <f>IF(A31&lt;&gt;"",YEAR(Tabela1[[#This Row],[Data]]),"")</f>
        <v>2022</v>
      </c>
      <c r="D31" s="20">
        <v>520.24</v>
      </c>
      <c r="E31" s="19" t="s">
        <v>11</v>
      </c>
      <c r="F31" s="21" t="s">
        <v>16</v>
      </c>
      <c r="G31" s="21" t="s">
        <v>18</v>
      </c>
      <c r="H31" s="21" t="s">
        <v>14</v>
      </c>
      <c r="I31" s="23" t="s">
        <v>49</v>
      </c>
    </row>
    <row r="32" spans="1:9" ht="15.75" x14ac:dyDescent="0.25">
      <c r="A32" s="22">
        <v>44691</v>
      </c>
      <c r="B32" s="19" t="str">
        <f>IF(A32&lt;&gt;"",VLOOKUP(MONTH(A32),Apoio!$A$2:$B$13,2,0),"")</f>
        <v>Mai</v>
      </c>
      <c r="C32" s="40">
        <f>IF(A32&lt;&gt;"",YEAR(Tabela1[[#This Row],[Data]]),"")</f>
        <v>2022</v>
      </c>
      <c r="D32" s="20">
        <v>25.83</v>
      </c>
      <c r="E32" s="19" t="s">
        <v>11</v>
      </c>
      <c r="F32" s="21" t="s">
        <v>16</v>
      </c>
      <c r="G32" s="21" t="s">
        <v>17</v>
      </c>
      <c r="H32" s="21" t="s">
        <v>14</v>
      </c>
      <c r="I32" s="23" t="s">
        <v>49</v>
      </c>
    </row>
    <row r="33" spans="1:9" ht="15.75" x14ac:dyDescent="0.25">
      <c r="A33" s="22">
        <v>44696</v>
      </c>
      <c r="B33" s="19" t="str">
        <f>IF(A33&lt;&gt;"",VLOOKUP(MONTH(A33),Apoio!$A$2:$B$13,2,0),"")</f>
        <v>Mai</v>
      </c>
      <c r="C33" s="40">
        <f>IF(A33&lt;&gt;"",YEAR(Tabela1[[#This Row],[Data]]),"")</f>
        <v>2022</v>
      </c>
      <c r="D33" s="20">
        <v>14.9</v>
      </c>
      <c r="E33" s="19" t="s">
        <v>11</v>
      </c>
      <c r="F33" s="21" t="s">
        <v>26</v>
      </c>
      <c r="G33" s="21" t="s">
        <v>60</v>
      </c>
      <c r="H33" s="21" t="s">
        <v>14</v>
      </c>
      <c r="I33" s="23" t="s">
        <v>49</v>
      </c>
    </row>
    <row r="34" spans="1:9" ht="15.75" x14ac:dyDescent="0.25">
      <c r="A34" s="22">
        <v>44696</v>
      </c>
      <c r="B34" s="19" t="str">
        <f>IF(A34&lt;&gt;"",VLOOKUP(MONTH(A34),Apoio!$A$2:$B$13,2,0),"")</f>
        <v>Mai</v>
      </c>
      <c r="C34" s="40">
        <f>IF(A34&lt;&gt;"",YEAR(Tabela1[[#This Row],[Data]]),"")</f>
        <v>2022</v>
      </c>
      <c r="D34" s="20">
        <v>99</v>
      </c>
      <c r="E34" s="19" t="s">
        <v>11</v>
      </c>
      <c r="F34" s="21" t="s">
        <v>58</v>
      </c>
      <c r="G34" s="21" t="s">
        <v>61</v>
      </c>
      <c r="H34" s="21" t="s">
        <v>14</v>
      </c>
      <c r="I34" s="23" t="s">
        <v>49</v>
      </c>
    </row>
    <row r="35" spans="1:9" ht="15.75" x14ac:dyDescent="0.25">
      <c r="A35" s="22">
        <v>44701</v>
      </c>
      <c r="B35" s="19" t="str">
        <f>IF(A35&lt;&gt;"",VLOOKUP(MONTH(A35),Apoio!$A$2:$B$13,2,0),"")</f>
        <v>Mai</v>
      </c>
      <c r="C35" s="40">
        <f>IF(A35&lt;&gt;"",YEAR(Tabela1[[#This Row],[Data]]),"")</f>
        <v>2022</v>
      </c>
      <c r="D35" s="20">
        <v>363.82</v>
      </c>
      <c r="E35" s="19" t="s">
        <v>11</v>
      </c>
      <c r="F35" s="21" t="s">
        <v>50</v>
      </c>
      <c r="G35" s="21" t="s">
        <v>62</v>
      </c>
      <c r="H35" s="21" t="s">
        <v>14</v>
      </c>
      <c r="I35" s="23" t="s">
        <v>49</v>
      </c>
    </row>
    <row r="36" spans="1:9" ht="15.75" x14ac:dyDescent="0.25">
      <c r="A36" s="22">
        <v>44701</v>
      </c>
      <c r="B36" s="19" t="str">
        <f>IF(A36&lt;&gt;"",VLOOKUP(MONTH(A36),Apoio!$A$2:$B$13,2,0),"")</f>
        <v>Mai</v>
      </c>
      <c r="C36" s="40">
        <f>IF(A36&lt;&gt;"",YEAR(Tabela1[[#This Row],[Data]]),"")</f>
        <v>2022</v>
      </c>
      <c r="D36" s="20">
        <v>4633.79</v>
      </c>
      <c r="E36" s="19" t="s">
        <v>52</v>
      </c>
      <c r="F36" s="21" t="s">
        <v>53</v>
      </c>
      <c r="G36" s="21" t="s">
        <v>63</v>
      </c>
      <c r="H36" s="21" t="s">
        <v>14</v>
      </c>
      <c r="I36" s="23" t="s">
        <v>49</v>
      </c>
    </row>
    <row r="37" spans="1:9" ht="15.75" x14ac:dyDescent="0.25">
      <c r="A37" s="22">
        <v>44702</v>
      </c>
      <c r="B37" s="19" t="str">
        <f>IF(A37&lt;&gt;"",VLOOKUP(MONTH(A37),Apoio!$A$2:$B$13,2,0),"")</f>
        <v>Mai</v>
      </c>
      <c r="C37" s="40">
        <f>IF(A37&lt;&gt;"",YEAR(Tabela1[[#This Row],[Data]]),"")</f>
        <v>2022</v>
      </c>
      <c r="D37" s="20">
        <v>95.14</v>
      </c>
      <c r="E37" s="19" t="s">
        <v>11</v>
      </c>
      <c r="F37" s="21" t="s">
        <v>42</v>
      </c>
      <c r="G37" s="21" t="s">
        <v>44</v>
      </c>
      <c r="H37" s="21" t="s">
        <v>14</v>
      </c>
      <c r="I37" s="23" t="s">
        <v>49</v>
      </c>
    </row>
    <row r="38" spans="1:9" ht="15.75" x14ac:dyDescent="0.25">
      <c r="A38" s="22">
        <v>44702</v>
      </c>
      <c r="B38" s="19" t="str">
        <f>IF(A38&lt;&gt;"",VLOOKUP(MONTH(A38),Apoio!$A$2:$B$13,2,0),"")</f>
        <v>Mai</v>
      </c>
      <c r="C38" s="40">
        <f>IF(A38&lt;&gt;"",YEAR(Tabela1[[#This Row],[Data]]),"")</f>
        <v>2022</v>
      </c>
      <c r="D38" s="20">
        <v>206.52</v>
      </c>
      <c r="E38" s="19" t="s">
        <v>11</v>
      </c>
      <c r="F38" s="21" t="s">
        <v>42</v>
      </c>
      <c r="G38" s="21" t="s">
        <v>43</v>
      </c>
      <c r="H38" s="21" t="s">
        <v>14</v>
      </c>
      <c r="I38" s="23" t="s">
        <v>49</v>
      </c>
    </row>
    <row r="39" spans="1:9" ht="15.75" x14ac:dyDescent="0.25">
      <c r="A39" s="22">
        <v>44704</v>
      </c>
      <c r="B39" s="19" t="str">
        <f>IF(A39&lt;&gt;"",VLOOKUP(MONTH(A39),Apoio!$A$2:$B$13,2,0),"")</f>
        <v>Mai</v>
      </c>
      <c r="C39" s="40">
        <f>IF(A39&lt;&gt;"",YEAR(Tabela1[[#This Row],[Data]]),"")</f>
        <v>2022</v>
      </c>
      <c r="D39" s="20">
        <v>40</v>
      </c>
      <c r="E39" s="19" t="s">
        <v>11</v>
      </c>
      <c r="F39" s="21" t="s">
        <v>32</v>
      </c>
      <c r="G39" s="21" t="s">
        <v>64</v>
      </c>
      <c r="H39" s="21" t="s">
        <v>25</v>
      </c>
      <c r="I39" s="23" t="s">
        <v>41</v>
      </c>
    </row>
    <row r="40" spans="1:9" ht="15.75" x14ac:dyDescent="0.25">
      <c r="A40" s="22">
        <v>44704</v>
      </c>
      <c r="B40" s="19" t="str">
        <f>IF(A40&lt;&gt;"",VLOOKUP(MONTH(A40),Apoio!$A$2:$B$13,2,0),"")</f>
        <v>Mai</v>
      </c>
      <c r="C40" s="40">
        <f>IF(A40&lt;&gt;"",YEAR(Tabela1[[#This Row],[Data]]),"")</f>
        <v>2022</v>
      </c>
      <c r="D40" s="20">
        <v>110</v>
      </c>
      <c r="E40" s="19" t="s">
        <v>11</v>
      </c>
      <c r="F40" s="21" t="s">
        <v>37</v>
      </c>
      <c r="G40" s="21" t="s">
        <v>65</v>
      </c>
      <c r="H40" s="21" t="s">
        <v>25</v>
      </c>
      <c r="I40" s="23" t="s">
        <v>41</v>
      </c>
    </row>
    <row r="41" spans="1:9" ht="15.75" x14ac:dyDescent="0.25">
      <c r="A41" s="22">
        <v>44704</v>
      </c>
      <c r="B41" s="19" t="str">
        <f>IF(A41&lt;&gt;"",VLOOKUP(MONTH(A41),Apoio!$A$2:$B$13,2,0),"")</f>
        <v>Mai</v>
      </c>
      <c r="C41" s="40">
        <f>IF(A41&lt;&gt;"",YEAR(Tabela1[[#This Row],[Data]]),"")</f>
        <v>2022</v>
      </c>
      <c r="D41" s="20">
        <v>30.22</v>
      </c>
      <c r="E41" s="19" t="s">
        <v>11</v>
      </c>
      <c r="F41" s="21" t="s">
        <v>20</v>
      </c>
      <c r="G41" s="21" t="s">
        <v>31</v>
      </c>
      <c r="H41" s="21" t="s">
        <v>25</v>
      </c>
      <c r="I41" s="23" t="s">
        <v>41</v>
      </c>
    </row>
    <row r="42" spans="1:9" ht="15.75" x14ac:dyDescent="0.25">
      <c r="A42" s="22">
        <v>44704</v>
      </c>
      <c r="B42" s="19" t="str">
        <f>IF(A42&lt;&gt;"",VLOOKUP(MONTH(A42),Apoio!$A$2:$B$13,2,0),"")</f>
        <v>Mai</v>
      </c>
      <c r="C42" s="40">
        <f>IF(A42&lt;&gt;"",YEAR(Tabela1[[#This Row],[Data]]),"")</f>
        <v>2022</v>
      </c>
      <c r="D42" s="20">
        <v>100</v>
      </c>
      <c r="E42" s="19" t="s">
        <v>11</v>
      </c>
      <c r="F42" s="21" t="s">
        <v>37</v>
      </c>
      <c r="G42" s="21" t="s">
        <v>38</v>
      </c>
      <c r="H42" s="21" t="s">
        <v>36</v>
      </c>
      <c r="I42" s="23" t="s">
        <v>49</v>
      </c>
    </row>
    <row r="43" spans="1:9" ht="15.75" x14ac:dyDescent="0.25">
      <c r="A43" s="22">
        <v>44704</v>
      </c>
      <c r="B43" s="19" t="str">
        <f>IF(A43&lt;&gt;"",VLOOKUP(MONTH(A43),Apoio!$A$2:$B$13,2,0),"")</f>
        <v>Mai</v>
      </c>
      <c r="C43" s="40">
        <f>IF(A43&lt;&gt;"",YEAR(Tabela1[[#This Row],[Data]]),"")</f>
        <v>2022</v>
      </c>
      <c r="D43" s="20">
        <v>9.9</v>
      </c>
      <c r="E43" s="19" t="s">
        <v>11</v>
      </c>
      <c r="F43" s="21" t="s">
        <v>28</v>
      </c>
      <c r="G43" s="21" t="s">
        <v>30</v>
      </c>
      <c r="H43" s="21" t="s">
        <v>25</v>
      </c>
      <c r="I43" s="23" t="s">
        <v>41</v>
      </c>
    </row>
    <row r="44" spans="1:9" ht="15.75" x14ac:dyDescent="0.25">
      <c r="A44" s="22">
        <v>44704</v>
      </c>
      <c r="B44" s="19" t="str">
        <f>IF(A44&lt;&gt;"",VLOOKUP(MONTH(A44),Apoio!$A$2:$B$13,2,0),"")</f>
        <v>Mai</v>
      </c>
      <c r="C44" s="40">
        <f>IF(A44&lt;&gt;"",YEAR(Tabela1[[#This Row],[Data]]),"")</f>
        <v>2022</v>
      </c>
      <c r="D44" s="20">
        <v>8.9</v>
      </c>
      <c r="E44" s="19" t="s">
        <v>11</v>
      </c>
      <c r="F44" s="21" t="s">
        <v>28</v>
      </c>
      <c r="G44" s="21" t="s">
        <v>29</v>
      </c>
      <c r="H44" s="21" t="s">
        <v>25</v>
      </c>
      <c r="I44" s="23" t="s">
        <v>41</v>
      </c>
    </row>
    <row r="45" spans="1:9" ht="15.75" x14ac:dyDescent="0.25">
      <c r="A45" s="22">
        <v>44704</v>
      </c>
      <c r="B45" s="19" t="str">
        <f>IF(A45&lt;&gt;"",VLOOKUP(MONTH(A45),Apoio!$A$2:$B$13,2,0),"")</f>
        <v>Mai</v>
      </c>
      <c r="C45" s="40">
        <f>IF(A45&lt;&gt;"",YEAR(Tabela1[[#This Row],[Data]]),"")</f>
        <v>2022</v>
      </c>
      <c r="D45" s="20">
        <v>48.22</v>
      </c>
      <c r="E45" s="19" t="s">
        <v>11</v>
      </c>
      <c r="F45" s="21" t="s">
        <v>23</v>
      </c>
      <c r="G45" s="21" t="s">
        <v>24</v>
      </c>
      <c r="H45" s="21" t="s">
        <v>25</v>
      </c>
      <c r="I45" s="23" t="s">
        <v>41</v>
      </c>
    </row>
    <row r="46" spans="1:9" ht="15.75" x14ac:dyDescent="0.25">
      <c r="A46" s="22">
        <v>44706</v>
      </c>
      <c r="B46" s="19" t="str">
        <f>IF(A46&lt;&gt;"",VLOOKUP(MONTH(A46),Apoio!$A$2:$B$13,2,0),"")</f>
        <v>Mai</v>
      </c>
      <c r="C46" s="40">
        <f>IF(A46&lt;&gt;"",YEAR(Tabela1[[#This Row],[Data]]),"")</f>
        <v>2022</v>
      </c>
      <c r="D46" s="20">
        <v>30.24</v>
      </c>
      <c r="E46" s="19" t="s">
        <v>11</v>
      </c>
      <c r="F46" s="21" t="s">
        <v>39</v>
      </c>
      <c r="G46" s="21" t="s">
        <v>40</v>
      </c>
      <c r="H46" s="21" t="s">
        <v>14</v>
      </c>
      <c r="I46" s="23" t="s">
        <v>49</v>
      </c>
    </row>
    <row r="47" spans="1:9" ht="15.75" x14ac:dyDescent="0.25">
      <c r="A47" s="22">
        <v>44714</v>
      </c>
      <c r="B47" s="19" t="str">
        <f>IF(A47&lt;&gt;"",VLOOKUP(MONTH(A47),Apoio!$A$2:$B$13,2,0),"")</f>
        <v>Jun</v>
      </c>
      <c r="C47" s="40">
        <f>IF(A47&lt;&gt;"",YEAR(Tabela1[[#This Row],[Data]]),"")</f>
        <v>2022</v>
      </c>
      <c r="D47" s="20">
        <v>80</v>
      </c>
      <c r="E47" s="19" t="s">
        <v>11</v>
      </c>
      <c r="F47" s="21" t="s">
        <v>39</v>
      </c>
      <c r="G47" s="21" t="s">
        <v>46</v>
      </c>
      <c r="H47" s="21" t="s">
        <v>14</v>
      </c>
      <c r="I47" s="23" t="s">
        <v>49</v>
      </c>
    </row>
    <row r="48" spans="1:9" ht="15.75" x14ac:dyDescent="0.25">
      <c r="A48" s="22">
        <v>44717</v>
      </c>
      <c r="B48" s="19" t="str">
        <f>IF(A48&lt;&gt;"",VLOOKUP(MONTH(A48),Apoio!$A$2:$B$13,2,0),"")</f>
        <v>Jun</v>
      </c>
      <c r="C48" s="40">
        <f>IF(A48&lt;&gt;"",YEAR(Tabela1[[#This Row],[Data]]),"")</f>
        <v>2022</v>
      </c>
      <c r="D48" s="20">
        <v>1000</v>
      </c>
      <c r="E48" s="19" t="s">
        <v>11</v>
      </c>
      <c r="F48" s="21" t="s">
        <v>37</v>
      </c>
      <c r="G48" s="21" t="s">
        <v>67</v>
      </c>
      <c r="H48" s="21" t="s">
        <v>14</v>
      </c>
      <c r="I48" s="23" t="s">
        <v>49</v>
      </c>
    </row>
    <row r="49" spans="1:9" ht="15.75" x14ac:dyDescent="0.25">
      <c r="A49" s="22">
        <v>44717</v>
      </c>
      <c r="B49" s="19" t="str">
        <f>IF(A49&lt;&gt;"",VLOOKUP(MONTH(A49),Apoio!$A$2:$B$13,2,0),"")</f>
        <v>Jun</v>
      </c>
      <c r="C49" s="40">
        <f>IF(A49&lt;&gt;"",YEAR(Tabela1[[#This Row],[Data]]),"")</f>
        <v>2022</v>
      </c>
      <c r="D49" s="20">
        <v>1447.03</v>
      </c>
      <c r="E49" s="19" t="s">
        <v>11</v>
      </c>
      <c r="F49" s="21" t="s">
        <v>56</v>
      </c>
      <c r="G49" s="21" t="s">
        <v>57</v>
      </c>
      <c r="H49" s="21" t="s">
        <v>14</v>
      </c>
      <c r="I49" s="23" t="s">
        <v>41</v>
      </c>
    </row>
    <row r="50" spans="1:9" ht="15.75" x14ac:dyDescent="0.25">
      <c r="A50" s="22">
        <v>44717</v>
      </c>
      <c r="B50" s="19" t="str">
        <f>IF(A50&lt;&gt;"",VLOOKUP(MONTH(A50),Apoio!$A$2:$B$13,2,0),"")</f>
        <v>Jun</v>
      </c>
      <c r="C50" s="40">
        <f>IF(A50&lt;&gt;"",YEAR(Tabela1[[#This Row],[Data]]),"")</f>
        <v>2022</v>
      </c>
      <c r="D50" s="20">
        <v>350</v>
      </c>
      <c r="E50" s="19" t="s">
        <v>11</v>
      </c>
      <c r="F50" s="21" t="s">
        <v>55</v>
      </c>
      <c r="G50" s="21" t="s">
        <v>55</v>
      </c>
      <c r="H50" s="21" t="s">
        <v>14</v>
      </c>
      <c r="I50" s="23" t="s">
        <v>49</v>
      </c>
    </row>
    <row r="51" spans="1:9" ht="15.75" x14ac:dyDescent="0.25">
      <c r="A51" s="22">
        <v>44717</v>
      </c>
      <c r="B51" s="19" t="str">
        <f>IF(A51&lt;&gt;"",VLOOKUP(MONTH(A51),Apoio!$A$2:$B$13,2,0),"")</f>
        <v>Jun</v>
      </c>
      <c r="C51" s="40">
        <f>IF(A51&lt;&gt;"",YEAR(Tabela1[[#This Row],[Data]]),"")</f>
        <v>2022</v>
      </c>
      <c r="D51" s="20">
        <v>4134.37</v>
      </c>
      <c r="E51" s="19" t="s">
        <v>52</v>
      </c>
      <c r="F51" s="21" t="s">
        <v>53</v>
      </c>
      <c r="G51" s="21" t="s">
        <v>54</v>
      </c>
      <c r="H51" s="21" t="s">
        <v>14</v>
      </c>
      <c r="I51" s="23" t="s">
        <v>49</v>
      </c>
    </row>
    <row r="52" spans="1:9" ht="15.75" x14ac:dyDescent="0.25">
      <c r="A52" s="22">
        <v>44717</v>
      </c>
      <c r="B52" s="19" t="str">
        <f>IF(A52&lt;&gt;"",VLOOKUP(MONTH(A52),Apoio!$A$2:$B$13,2,0),"")</f>
        <v>Jun</v>
      </c>
      <c r="C52" s="40">
        <f>IF(A52&lt;&gt;"",YEAR(Tabela1[[#This Row],[Data]]),"")</f>
        <v>2022</v>
      </c>
      <c r="D52" s="20">
        <v>294.10000000000002</v>
      </c>
      <c r="E52" s="19" t="s">
        <v>11</v>
      </c>
      <c r="F52" s="21" t="s">
        <v>50</v>
      </c>
      <c r="G52" s="21" t="s">
        <v>51</v>
      </c>
      <c r="H52" s="21" t="s">
        <v>14</v>
      </c>
      <c r="I52" s="23" t="s">
        <v>49</v>
      </c>
    </row>
    <row r="53" spans="1:9" ht="15.75" x14ac:dyDescent="0.25">
      <c r="A53" s="22">
        <v>44717</v>
      </c>
      <c r="B53" s="19" t="str">
        <f>IF(A53&lt;&gt;"",VLOOKUP(MONTH(A53),Apoio!$A$2:$B$13,2,0),"")</f>
        <v>Jun</v>
      </c>
      <c r="C53" s="40">
        <f>IF(A53&lt;&gt;"",YEAR(Tabela1[[#This Row],[Data]]),"")</f>
        <v>2022</v>
      </c>
      <c r="D53" s="20">
        <v>7.97</v>
      </c>
      <c r="E53" s="19" t="s">
        <v>11</v>
      </c>
      <c r="F53" s="21" t="s">
        <v>47</v>
      </c>
      <c r="G53" s="21" t="s">
        <v>48</v>
      </c>
      <c r="H53" s="21" t="s">
        <v>14</v>
      </c>
      <c r="I53" s="23" t="s">
        <v>49</v>
      </c>
    </row>
    <row r="54" spans="1:9" ht="15.75" x14ac:dyDescent="0.25">
      <c r="A54" s="22">
        <v>44717</v>
      </c>
      <c r="B54" s="19" t="str">
        <f>IF(A54&lt;&gt;"",VLOOKUP(MONTH(A54),Apoio!$A$2:$B$13,2,0),"")</f>
        <v>Jun</v>
      </c>
      <c r="C54" s="40">
        <f>IF(A54&lt;&gt;"",YEAR(Tabela1[[#This Row],[Data]]),"")</f>
        <v>2022</v>
      </c>
      <c r="D54" s="20">
        <v>320</v>
      </c>
      <c r="E54" s="19" t="s">
        <v>11</v>
      </c>
      <c r="F54" s="21" t="s">
        <v>12</v>
      </c>
      <c r="G54" s="21" t="s">
        <v>13</v>
      </c>
      <c r="H54" s="21" t="s">
        <v>14</v>
      </c>
      <c r="I54" s="23" t="s">
        <v>49</v>
      </c>
    </row>
    <row r="55" spans="1:9" ht="15.75" x14ac:dyDescent="0.25">
      <c r="A55" s="22">
        <v>44722</v>
      </c>
      <c r="B55" s="19" t="str">
        <f>IF(A55&lt;&gt;"",VLOOKUP(MONTH(A55),Apoio!$A$2:$B$13,2,0),"")</f>
        <v>Jun</v>
      </c>
      <c r="C55" s="40">
        <f>IF(A55&lt;&gt;"",YEAR(Tabela1[[#This Row],[Data]]),"")</f>
        <v>2022</v>
      </c>
      <c r="D55" s="20">
        <v>69.900000000000006</v>
      </c>
      <c r="E55" s="19" t="s">
        <v>11</v>
      </c>
      <c r="F55" s="21" t="s">
        <v>58</v>
      </c>
      <c r="G55" s="21" t="s">
        <v>59</v>
      </c>
      <c r="H55" s="21" t="s">
        <v>14</v>
      </c>
      <c r="I55" s="23" t="s">
        <v>49</v>
      </c>
    </row>
    <row r="56" spans="1:9" ht="15.75" x14ac:dyDescent="0.25">
      <c r="A56" s="22">
        <v>44722</v>
      </c>
      <c r="B56" s="19" t="str">
        <f>IF(A56&lt;&gt;"",VLOOKUP(MONTH(A56),Apoio!$A$2:$B$13,2,0),"")</f>
        <v>Jun</v>
      </c>
      <c r="C56" s="40">
        <f>IF(A56&lt;&gt;"",YEAR(Tabela1[[#This Row],[Data]]),"")</f>
        <v>2022</v>
      </c>
      <c r="D56" s="20">
        <v>650.49</v>
      </c>
      <c r="E56" s="19" t="s">
        <v>11</v>
      </c>
      <c r="F56" s="21" t="s">
        <v>16</v>
      </c>
      <c r="G56" s="21" t="s">
        <v>19</v>
      </c>
      <c r="H56" s="21" t="s">
        <v>14</v>
      </c>
      <c r="I56" s="23" t="s">
        <v>49</v>
      </c>
    </row>
    <row r="57" spans="1:9" ht="15.75" x14ac:dyDescent="0.25">
      <c r="A57" s="22">
        <v>44722</v>
      </c>
      <c r="B57" s="19" t="str">
        <f>IF(A57&lt;&gt;"",VLOOKUP(MONTH(A57),Apoio!$A$2:$B$13,2,0),"")</f>
        <v>Jun</v>
      </c>
      <c r="C57" s="40">
        <f>IF(A57&lt;&gt;"",YEAR(Tabela1[[#This Row],[Data]]),"")</f>
        <v>2022</v>
      </c>
      <c r="D57" s="20">
        <v>520.24</v>
      </c>
      <c r="E57" s="19" t="s">
        <v>11</v>
      </c>
      <c r="F57" s="21" t="s">
        <v>16</v>
      </c>
      <c r="G57" s="21" t="s">
        <v>18</v>
      </c>
      <c r="H57" s="21" t="s">
        <v>14</v>
      </c>
      <c r="I57" s="23" t="s">
        <v>49</v>
      </c>
    </row>
    <row r="58" spans="1:9" ht="15.75" x14ac:dyDescent="0.25">
      <c r="A58" s="22">
        <v>44722</v>
      </c>
      <c r="B58" s="19" t="str">
        <f>IF(A58&lt;&gt;"",VLOOKUP(MONTH(A58),Apoio!$A$2:$B$13,2,0),"")</f>
        <v>Jun</v>
      </c>
      <c r="C58" s="40">
        <f>IF(A58&lt;&gt;"",YEAR(Tabela1[[#This Row],[Data]]),"")</f>
        <v>2022</v>
      </c>
      <c r="D58" s="20">
        <v>25.83</v>
      </c>
      <c r="E58" s="19" t="s">
        <v>11</v>
      </c>
      <c r="F58" s="21" t="s">
        <v>16</v>
      </c>
      <c r="G58" s="21" t="s">
        <v>17</v>
      </c>
      <c r="H58" s="21" t="s">
        <v>14</v>
      </c>
      <c r="I58" s="23" t="s">
        <v>49</v>
      </c>
    </row>
    <row r="59" spans="1:9" ht="15.75" x14ac:dyDescent="0.25">
      <c r="A59" s="22">
        <v>44727</v>
      </c>
      <c r="B59" s="19" t="str">
        <f>IF(A59&lt;&gt;"",VLOOKUP(MONTH(A59),Apoio!$A$2:$B$13,2,0),"")</f>
        <v>Jun</v>
      </c>
      <c r="C59" s="40">
        <f>IF(A59&lt;&gt;"",YEAR(Tabela1[[#This Row],[Data]]),"")</f>
        <v>2022</v>
      </c>
      <c r="D59" s="20">
        <v>99</v>
      </c>
      <c r="E59" s="19" t="s">
        <v>11</v>
      </c>
      <c r="F59" s="21" t="s">
        <v>58</v>
      </c>
      <c r="G59" s="21" t="s">
        <v>61</v>
      </c>
      <c r="H59" s="21" t="s">
        <v>14</v>
      </c>
      <c r="I59" s="23" t="s">
        <v>49</v>
      </c>
    </row>
    <row r="60" spans="1:9" ht="15.75" x14ac:dyDescent="0.25">
      <c r="A60" s="22">
        <v>44727</v>
      </c>
      <c r="B60" s="19" t="str">
        <f>IF(A60&lt;&gt;"",VLOOKUP(MONTH(A60),Apoio!$A$2:$B$13,2,0),"")</f>
        <v>Jun</v>
      </c>
      <c r="C60" s="40">
        <f>IF(A60&lt;&gt;"",YEAR(Tabela1[[#This Row],[Data]]),"")</f>
        <v>2022</v>
      </c>
      <c r="D60" s="20">
        <v>14.9</v>
      </c>
      <c r="E60" s="19" t="s">
        <v>11</v>
      </c>
      <c r="F60" s="21" t="s">
        <v>26</v>
      </c>
      <c r="G60" s="21" t="s">
        <v>60</v>
      </c>
      <c r="H60" s="21" t="s">
        <v>14</v>
      </c>
      <c r="I60" s="23" t="s">
        <v>49</v>
      </c>
    </row>
    <row r="61" spans="1:9" ht="15.75" x14ac:dyDescent="0.25">
      <c r="A61" s="22">
        <v>44732</v>
      </c>
      <c r="B61" s="19" t="str">
        <f>IF(A61&lt;&gt;"",VLOOKUP(MONTH(A61),Apoio!$A$2:$B$13,2,0),"")</f>
        <v>Jun</v>
      </c>
      <c r="C61" s="40">
        <f>IF(A61&lt;&gt;"",YEAR(Tabela1[[#This Row],[Data]]),"")</f>
        <v>2022</v>
      </c>
      <c r="D61" s="20">
        <v>4633.79</v>
      </c>
      <c r="E61" s="19" t="s">
        <v>52</v>
      </c>
      <c r="F61" s="21" t="s">
        <v>53</v>
      </c>
      <c r="G61" s="21" t="s">
        <v>63</v>
      </c>
      <c r="H61" s="21" t="s">
        <v>14</v>
      </c>
      <c r="I61" s="23" t="s">
        <v>49</v>
      </c>
    </row>
    <row r="62" spans="1:9" ht="15.75" x14ac:dyDescent="0.25">
      <c r="A62" s="22">
        <v>44732</v>
      </c>
      <c r="B62" s="19" t="str">
        <f>IF(A62&lt;&gt;"",VLOOKUP(MONTH(A62),Apoio!$A$2:$B$13,2,0),"")</f>
        <v>Jun</v>
      </c>
      <c r="C62" s="40">
        <f>IF(A62&lt;&gt;"",YEAR(Tabela1[[#This Row],[Data]]),"")</f>
        <v>2022</v>
      </c>
      <c r="D62" s="20">
        <v>363.82</v>
      </c>
      <c r="E62" s="19" t="s">
        <v>11</v>
      </c>
      <c r="F62" s="21" t="s">
        <v>50</v>
      </c>
      <c r="G62" s="21" t="s">
        <v>62</v>
      </c>
      <c r="H62" s="21" t="s">
        <v>14</v>
      </c>
      <c r="I62" s="23" t="s">
        <v>49</v>
      </c>
    </row>
    <row r="63" spans="1:9" ht="15.75" x14ac:dyDescent="0.25">
      <c r="A63" s="22">
        <v>44733</v>
      </c>
      <c r="B63" s="19" t="str">
        <f>IF(A63&lt;&gt;"",VLOOKUP(MONTH(A63),Apoio!$A$2:$B$13,2,0),"")</f>
        <v>Jun</v>
      </c>
      <c r="C63" s="40">
        <f>IF(A63&lt;&gt;"",YEAR(Tabela1[[#This Row],[Data]]),"")</f>
        <v>2022</v>
      </c>
      <c r="D63" s="20">
        <v>95.14</v>
      </c>
      <c r="E63" s="19" t="s">
        <v>11</v>
      </c>
      <c r="F63" s="21" t="s">
        <v>42</v>
      </c>
      <c r="G63" s="21" t="s">
        <v>44</v>
      </c>
      <c r="H63" s="21" t="s">
        <v>14</v>
      </c>
      <c r="I63" s="23" t="s">
        <v>49</v>
      </c>
    </row>
    <row r="64" spans="1:9" ht="15.75" x14ac:dyDescent="0.25">
      <c r="A64" s="22">
        <v>44733</v>
      </c>
      <c r="B64" s="19" t="str">
        <f>IF(A64&lt;&gt;"",VLOOKUP(MONTH(A64),Apoio!$A$2:$B$13,2,0),"")</f>
        <v>Jun</v>
      </c>
      <c r="C64" s="40">
        <f>IF(A64&lt;&gt;"",YEAR(Tabela1[[#This Row],[Data]]),"")</f>
        <v>2022</v>
      </c>
      <c r="D64" s="20">
        <v>206.52</v>
      </c>
      <c r="E64" s="19" t="s">
        <v>11</v>
      </c>
      <c r="F64" s="21" t="s">
        <v>42</v>
      </c>
      <c r="G64" s="21" t="s">
        <v>43</v>
      </c>
      <c r="H64" s="21" t="s">
        <v>14</v>
      </c>
      <c r="I64" s="23" t="s">
        <v>49</v>
      </c>
    </row>
    <row r="65" spans="1:9" ht="15.75" x14ac:dyDescent="0.25">
      <c r="A65" s="22">
        <v>44735</v>
      </c>
      <c r="B65" s="19" t="str">
        <f>IF(A65&lt;&gt;"",VLOOKUP(MONTH(A65),Apoio!$A$2:$B$13,2,0),"")</f>
        <v>Jun</v>
      </c>
      <c r="C65" s="40">
        <f>IF(A65&lt;&gt;"",YEAR(Tabela1[[#This Row],[Data]]),"")</f>
        <v>2022</v>
      </c>
      <c r="D65" s="20">
        <v>48.22</v>
      </c>
      <c r="E65" s="19" t="s">
        <v>11</v>
      </c>
      <c r="F65" s="21" t="s">
        <v>23</v>
      </c>
      <c r="G65" s="21" t="s">
        <v>24</v>
      </c>
      <c r="H65" s="21" t="s">
        <v>25</v>
      </c>
      <c r="I65" s="23" t="s">
        <v>41</v>
      </c>
    </row>
    <row r="66" spans="1:9" ht="15.75" x14ac:dyDescent="0.25">
      <c r="A66" s="22">
        <v>44735</v>
      </c>
      <c r="B66" s="19" t="str">
        <f>IF(A66&lt;&gt;"",VLOOKUP(MONTH(A66),Apoio!$A$2:$B$13,2,0),"")</f>
        <v>Jun</v>
      </c>
      <c r="C66" s="40">
        <f>IF(A66&lt;&gt;"",YEAR(Tabela1[[#This Row],[Data]]),"")</f>
        <v>2022</v>
      </c>
      <c r="D66" s="20">
        <v>100</v>
      </c>
      <c r="E66" s="19" t="s">
        <v>11</v>
      </c>
      <c r="F66" s="21" t="s">
        <v>37</v>
      </c>
      <c r="G66" s="21" t="s">
        <v>38</v>
      </c>
      <c r="H66" s="21" t="s">
        <v>36</v>
      </c>
      <c r="I66" s="23" t="s">
        <v>49</v>
      </c>
    </row>
    <row r="67" spans="1:9" ht="15.75" x14ac:dyDescent="0.25">
      <c r="A67" s="22">
        <v>44735</v>
      </c>
      <c r="B67" s="19" t="str">
        <f>IF(A67&lt;&gt;"",VLOOKUP(MONTH(A67),Apoio!$A$2:$B$13,2,0),"")</f>
        <v>Jun</v>
      </c>
      <c r="C67" s="40">
        <f>IF(A67&lt;&gt;"",YEAR(Tabela1[[#This Row],[Data]]),"")</f>
        <v>2022</v>
      </c>
      <c r="D67" s="20">
        <v>9.9</v>
      </c>
      <c r="E67" s="19" t="s">
        <v>11</v>
      </c>
      <c r="F67" s="21" t="s">
        <v>28</v>
      </c>
      <c r="G67" s="21" t="s">
        <v>30</v>
      </c>
      <c r="H67" s="21" t="s">
        <v>25</v>
      </c>
      <c r="I67" s="23" t="s">
        <v>41</v>
      </c>
    </row>
    <row r="68" spans="1:9" ht="15.75" x14ac:dyDescent="0.25">
      <c r="A68" s="22">
        <v>44735</v>
      </c>
      <c r="B68" s="19" t="str">
        <f>IF(A68&lt;&gt;"",VLOOKUP(MONTH(A68),Apoio!$A$2:$B$13,2,0),"")</f>
        <v>Jun</v>
      </c>
      <c r="C68" s="40">
        <f>IF(A68&lt;&gt;"",YEAR(Tabela1[[#This Row],[Data]]),"")</f>
        <v>2022</v>
      </c>
      <c r="D68" s="20">
        <v>8.9</v>
      </c>
      <c r="E68" s="19" t="s">
        <v>11</v>
      </c>
      <c r="F68" s="21" t="s">
        <v>28</v>
      </c>
      <c r="G68" s="21" t="s">
        <v>29</v>
      </c>
      <c r="H68" s="21" t="s">
        <v>25</v>
      </c>
      <c r="I68" s="23" t="s">
        <v>41</v>
      </c>
    </row>
    <row r="69" spans="1:9" ht="15.75" x14ac:dyDescent="0.25">
      <c r="A69" s="22">
        <v>44737</v>
      </c>
      <c r="B69" s="19" t="str">
        <f>IF(A69&lt;&gt;"",VLOOKUP(MONTH(A69),Apoio!$A$2:$B$13,2,0),"")</f>
        <v>Jun</v>
      </c>
      <c r="C69" s="40">
        <f>IF(A69&lt;&gt;"",YEAR(Tabela1[[#This Row],[Data]]),"")</f>
        <v>2022</v>
      </c>
      <c r="D69" s="20">
        <v>30.24</v>
      </c>
      <c r="E69" s="19" t="s">
        <v>11</v>
      </c>
      <c r="F69" s="21" t="s">
        <v>39</v>
      </c>
      <c r="G69" s="21" t="s">
        <v>40</v>
      </c>
      <c r="H69" s="21" t="s">
        <v>14</v>
      </c>
      <c r="I69" s="23" t="s">
        <v>49</v>
      </c>
    </row>
    <row r="70" spans="1:9" ht="15.75" x14ac:dyDescent="0.25">
      <c r="A70" s="22">
        <v>44747</v>
      </c>
      <c r="B70" s="19" t="str">
        <f>IF(A70&lt;&gt;"",VLOOKUP(MONTH(A70),Apoio!$A$2:$B$13,2,0),"")</f>
        <v>Jul</v>
      </c>
      <c r="C70" s="40">
        <f>IF(A70&lt;&gt;"",YEAR(Tabela1[[#This Row],[Data]]),"")</f>
        <v>2022</v>
      </c>
      <c r="D70" s="20">
        <v>1447.03</v>
      </c>
      <c r="E70" s="19" t="s">
        <v>11</v>
      </c>
      <c r="F70" s="21" t="s">
        <v>56</v>
      </c>
      <c r="G70" s="21" t="s">
        <v>57</v>
      </c>
      <c r="H70" s="21" t="s">
        <v>14</v>
      </c>
      <c r="I70" s="23" t="s">
        <v>41</v>
      </c>
    </row>
    <row r="71" spans="1:9" ht="15.75" x14ac:dyDescent="0.25">
      <c r="A71" s="22">
        <v>44747</v>
      </c>
      <c r="B71" s="19" t="str">
        <f>IF(A71&lt;&gt;"",VLOOKUP(MONTH(A71),Apoio!$A$2:$B$13,2,0),"")</f>
        <v>Jul</v>
      </c>
      <c r="C71" s="40">
        <f>IF(A71&lt;&gt;"",YEAR(Tabela1[[#This Row],[Data]]),"")</f>
        <v>2022</v>
      </c>
      <c r="D71" s="20">
        <v>350</v>
      </c>
      <c r="E71" s="19" t="s">
        <v>11</v>
      </c>
      <c r="F71" s="21" t="s">
        <v>55</v>
      </c>
      <c r="G71" s="21" t="s">
        <v>55</v>
      </c>
      <c r="H71" s="21" t="s">
        <v>14</v>
      </c>
      <c r="I71" s="23" t="s">
        <v>49</v>
      </c>
    </row>
    <row r="72" spans="1:9" ht="15.75" x14ac:dyDescent="0.25">
      <c r="A72" s="22">
        <v>44747</v>
      </c>
      <c r="B72" s="19" t="str">
        <f>IF(A72&lt;&gt;"",VLOOKUP(MONTH(A72),Apoio!$A$2:$B$13,2,0),"")</f>
        <v>Jul</v>
      </c>
      <c r="C72" s="40">
        <f>IF(A72&lt;&gt;"",YEAR(Tabela1[[#This Row],[Data]]),"")</f>
        <v>2022</v>
      </c>
      <c r="D72" s="20">
        <v>4134.37</v>
      </c>
      <c r="E72" s="19" t="s">
        <v>52</v>
      </c>
      <c r="F72" s="21" t="s">
        <v>53</v>
      </c>
      <c r="G72" s="21" t="s">
        <v>54</v>
      </c>
      <c r="H72" s="21" t="s">
        <v>14</v>
      </c>
      <c r="I72" s="23" t="s">
        <v>49</v>
      </c>
    </row>
    <row r="73" spans="1:9" ht="15.75" x14ac:dyDescent="0.25">
      <c r="A73" s="22">
        <v>44747</v>
      </c>
      <c r="B73" s="19" t="str">
        <f>IF(A73&lt;&gt;"",VLOOKUP(MONTH(A73),Apoio!$A$2:$B$13,2,0),"")</f>
        <v>Jul</v>
      </c>
      <c r="C73" s="40">
        <f>IF(A73&lt;&gt;"",YEAR(Tabela1[[#This Row],[Data]]),"")</f>
        <v>2022</v>
      </c>
      <c r="D73" s="20">
        <v>294.10000000000002</v>
      </c>
      <c r="E73" s="19" t="s">
        <v>11</v>
      </c>
      <c r="F73" s="21" t="s">
        <v>50</v>
      </c>
      <c r="G73" s="21" t="s">
        <v>51</v>
      </c>
      <c r="H73" s="21" t="s">
        <v>14</v>
      </c>
      <c r="I73" s="23" t="s">
        <v>49</v>
      </c>
    </row>
    <row r="74" spans="1:9" ht="15.75" x14ac:dyDescent="0.25">
      <c r="A74" s="22">
        <v>44747</v>
      </c>
      <c r="B74" s="19" t="str">
        <f>IF(A74&lt;&gt;"",VLOOKUP(MONTH(A74),Apoio!$A$2:$B$13,2,0),"")</f>
        <v>Jul</v>
      </c>
      <c r="C74" s="40">
        <f>IF(A74&lt;&gt;"",YEAR(Tabela1[[#This Row],[Data]]),"")</f>
        <v>2022</v>
      </c>
      <c r="D74" s="20">
        <v>7.97</v>
      </c>
      <c r="E74" s="19" t="s">
        <v>11</v>
      </c>
      <c r="F74" s="21" t="s">
        <v>47</v>
      </c>
      <c r="G74" s="21" t="s">
        <v>48</v>
      </c>
      <c r="H74" s="21" t="s">
        <v>14</v>
      </c>
      <c r="I74" s="23" t="s">
        <v>49</v>
      </c>
    </row>
    <row r="75" spans="1:9" ht="15.75" x14ac:dyDescent="0.25">
      <c r="A75" s="22">
        <v>44747</v>
      </c>
      <c r="B75" s="19" t="str">
        <f>IF(A75&lt;&gt;"",VLOOKUP(MONTH(A75),Apoio!$A$2:$B$13,2,0),"")</f>
        <v>Jul</v>
      </c>
      <c r="C75" s="40">
        <f>IF(A75&lt;&gt;"",YEAR(Tabela1[[#This Row],[Data]]),"")</f>
        <v>2022</v>
      </c>
      <c r="D75" s="20">
        <v>320</v>
      </c>
      <c r="E75" s="19" t="s">
        <v>11</v>
      </c>
      <c r="F75" s="21" t="s">
        <v>12</v>
      </c>
      <c r="G75" s="21" t="s">
        <v>13</v>
      </c>
      <c r="H75" s="21" t="s">
        <v>14</v>
      </c>
      <c r="I75" s="23" t="s">
        <v>49</v>
      </c>
    </row>
    <row r="76" spans="1:9" ht="15.75" x14ac:dyDescent="0.25">
      <c r="A76" s="22">
        <v>44752</v>
      </c>
      <c r="B76" s="19" t="str">
        <f>IF(A76&lt;&gt;"",VLOOKUP(MONTH(A76),Apoio!$A$2:$B$13,2,0),"")</f>
        <v>Jul</v>
      </c>
      <c r="C76" s="40">
        <f>IF(A76&lt;&gt;"",YEAR(Tabela1[[#This Row],[Data]]),"")</f>
        <v>2022</v>
      </c>
      <c r="D76" s="20">
        <v>69.900000000000006</v>
      </c>
      <c r="E76" s="19" t="s">
        <v>11</v>
      </c>
      <c r="F76" s="21" t="s">
        <v>58</v>
      </c>
      <c r="G76" s="21" t="s">
        <v>59</v>
      </c>
      <c r="H76" s="21" t="s">
        <v>14</v>
      </c>
      <c r="I76" s="23" t="s">
        <v>49</v>
      </c>
    </row>
    <row r="77" spans="1:9" ht="15.75" x14ac:dyDescent="0.25">
      <c r="A77" s="22">
        <v>44752</v>
      </c>
      <c r="B77" s="19" t="str">
        <f>IF(A77&lt;&gt;"",VLOOKUP(MONTH(A77),Apoio!$A$2:$B$13,2,0),"")</f>
        <v>Jul</v>
      </c>
      <c r="C77" s="40">
        <f>IF(A77&lt;&gt;"",YEAR(Tabela1[[#This Row],[Data]]),"")</f>
        <v>2022</v>
      </c>
      <c r="D77" s="20">
        <v>650.49</v>
      </c>
      <c r="E77" s="19" t="s">
        <v>11</v>
      </c>
      <c r="F77" s="21" t="s">
        <v>16</v>
      </c>
      <c r="G77" s="21" t="s">
        <v>19</v>
      </c>
      <c r="H77" s="21" t="s">
        <v>14</v>
      </c>
      <c r="I77" s="23" t="s">
        <v>49</v>
      </c>
    </row>
    <row r="78" spans="1:9" ht="15.75" x14ac:dyDescent="0.25">
      <c r="A78" s="22">
        <v>44752</v>
      </c>
      <c r="B78" s="19" t="str">
        <f>IF(A78&lt;&gt;"",VLOOKUP(MONTH(A78),Apoio!$A$2:$B$13,2,0),"")</f>
        <v>Jul</v>
      </c>
      <c r="C78" s="40">
        <f>IF(A78&lt;&gt;"",YEAR(Tabela1[[#This Row],[Data]]),"")</f>
        <v>2022</v>
      </c>
      <c r="D78" s="20">
        <v>520.24</v>
      </c>
      <c r="E78" s="19" t="s">
        <v>11</v>
      </c>
      <c r="F78" s="21" t="s">
        <v>16</v>
      </c>
      <c r="G78" s="21" t="s">
        <v>18</v>
      </c>
      <c r="H78" s="21" t="s">
        <v>14</v>
      </c>
      <c r="I78" s="23" t="s">
        <v>49</v>
      </c>
    </row>
    <row r="79" spans="1:9" ht="15.75" x14ac:dyDescent="0.25">
      <c r="A79" s="22">
        <v>44752</v>
      </c>
      <c r="B79" s="19" t="str">
        <f>IF(A79&lt;&gt;"",VLOOKUP(MONTH(A79),Apoio!$A$2:$B$13,2,0),"")</f>
        <v>Jul</v>
      </c>
      <c r="C79" s="40">
        <f>IF(A79&lt;&gt;"",YEAR(Tabela1[[#This Row],[Data]]),"")</f>
        <v>2022</v>
      </c>
      <c r="D79" s="20">
        <v>25.83</v>
      </c>
      <c r="E79" s="19" t="s">
        <v>11</v>
      </c>
      <c r="F79" s="21" t="s">
        <v>16</v>
      </c>
      <c r="G79" s="21" t="s">
        <v>17</v>
      </c>
      <c r="H79" s="21" t="s">
        <v>14</v>
      </c>
      <c r="I79" s="23" t="s">
        <v>49</v>
      </c>
    </row>
    <row r="80" spans="1:9" ht="15.75" x14ac:dyDescent="0.25">
      <c r="A80" s="22">
        <v>44757</v>
      </c>
      <c r="B80" s="19" t="str">
        <f>IF(A80&lt;&gt;"",VLOOKUP(MONTH(A80),Apoio!$A$2:$B$13,2,0),"")</f>
        <v>Jul</v>
      </c>
      <c r="C80" s="40">
        <f>IF(A80&lt;&gt;"",YEAR(Tabela1[[#This Row],[Data]]),"")</f>
        <v>2022</v>
      </c>
      <c r="D80" s="20">
        <v>99</v>
      </c>
      <c r="E80" s="19" t="s">
        <v>11</v>
      </c>
      <c r="F80" s="21" t="s">
        <v>58</v>
      </c>
      <c r="G80" s="21" t="s">
        <v>61</v>
      </c>
      <c r="H80" s="21" t="s">
        <v>14</v>
      </c>
      <c r="I80" s="23" t="s">
        <v>49</v>
      </c>
    </row>
    <row r="81" spans="1:9" ht="15.75" x14ac:dyDescent="0.25">
      <c r="A81" s="22">
        <v>44757</v>
      </c>
      <c r="B81" s="19" t="str">
        <f>IF(A81&lt;&gt;"",VLOOKUP(MONTH(A81),Apoio!$A$2:$B$13,2,0),"")</f>
        <v>Jul</v>
      </c>
      <c r="C81" s="40">
        <f>IF(A81&lt;&gt;"",YEAR(Tabela1[[#This Row],[Data]]),"")</f>
        <v>2022</v>
      </c>
      <c r="D81" s="20">
        <v>14.9</v>
      </c>
      <c r="E81" s="19" t="s">
        <v>11</v>
      </c>
      <c r="F81" s="21" t="s">
        <v>26</v>
      </c>
      <c r="G81" s="21" t="s">
        <v>60</v>
      </c>
      <c r="H81" s="21" t="s">
        <v>14</v>
      </c>
      <c r="I81" s="23" t="s">
        <v>49</v>
      </c>
    </row>
    <row r="82" spans="1:9" ht="15.75" x14ac:dyDescent="0.25">
      <c r="A82" s="22">
        <v>44762</v>
      </c>
      <c r="B82" s="19" t="str">
        <f>IF(A82&lt;&gt;"",VLOOKUP(MONTH(A82),Apoio!$A$2:$B$13,2,0),"")</f>
        <v>Jul</v>
      </c>
      <c r="C82" s="40">
        <f>IF(A82&lt;&gt;"",YEAR(Tabela1[[#This Row],[Data]]),"")</f>
        <v>2022</v>
      </c>
      <c r="D82" s="20">
        <v>4633.79</v>
      </c>
      <c r="E82" s="19" t="s">
        <v>52</v>
      </c>
      <c r="F82" s="21" t="s">
        <v>53</v>
      </c>
      <c r="G82" s="21" t="s">
        <v>63</v>
      </c>
      <c r="H82" s="21" t="s">
        <v>14</v>
      </c>
      <c r="I82" s="23" t="s">
        <v>49</v>
      </c>
    </row>
    <row r="83" spans="1:9" ht="15.75" x14ac:dyDescent="0.25">
      <c r="A83" s="22">
        <v>44762</v>
      </c>
      <c r="B83" s="19" t="str">
        <f>IF(A83&lt;&gt;"",VLOOKUP(MONTH(A83),Apoio!$A$2:$B$13,2,0),"")</f>
        <v>Jul</v>
      </c>
      <c r="C83" s="40">
        <f>IF(A83&lt;&gt;"",YEAR(Tabela1[[#This Row],[Data]]),"")</f>
        <v>2022</v>
      </c>
      <c r="D83" s="20">
        <v>363.82</v>
      </c>
      <c r="E83" s="19" t="s">
        <v>11</v>
      </c>
      <c r="F83" s="21" t="s">
        <v>50</v>
      </c>
      <c r="G83" s="21" t="s">
        <v>62</v>
      </c>
      <c r="H83" s="21" t="s">
        <v>14</v>
      </c>
      <c r="I83" s="23" t="s">
        <v>49</v>
      </c>
    </row>
    <row r="84" spans="1:9" ht="15.75" x14ac:dyDescent="0.25">
      <c r="A84" s="22">
        <v>44763</v>
      </c>
      <c r="B84" s="19" t="str">
        <f>IF(A84&lt;&gt;"",VLOOKUP(MONTH(A84),Apoio!$A$2:$B$13,2,0),"")</f>
        <v>Jul</v>
      </c>
      <c r="C84" s="40">
        <f>IF(A84&lt;&gt;"",YEAR(Tabela1[[#This Row],[Data]]),"")</f>
        <v>2022</v>
      </c>
      <c r="D84" s="20">
        <v>95.14</v>
      </c>
      <c r="E84" s="19" t="s">
        <v>11</v>
      </c>
      <c r="F84" s="21" t="s">
        <v>42</v>
      </c>
      <c r="G84" s="21" t="s">
        <v>44</v>
      </c>
      <c r="H84" s="21" t="s">
        <v>14</v>
      </c>
      <c r="I84" s="23" t="s">
        <v>49</v>
      </c>
    </row>
    <row r="85" spans="1:9" ht="15.75" x14ac:dyDescent="0.25">
      <c r="A85" s="22">
        <v>44763</v>
      </c>
      <c r="B85" s="19" t="str">
        <f>IF(A85&lt;&gt;"",VLOOKUP(MONTH(A85),Apoio!$A$2:$B$13,2,0),"")</f>
        <v>Jul</v>
      </c>
      <c r="C85" s="40">
        <f>IF(A85&lt;&gt;"",YEAR(Tabela1[[#This Row],[Data]]),"")</f>
        <v>2022</v>
      </c>
      <c r="D85" s="20">
        <v>206.52</v>
      </c>
      <c r="E85" s="19" t="s">
        <v>11</v>
      </c>
      <c r="F85" s="21" t="s">
        <v>42</v>
      </c>
      <c r="G85" s="21" t="s">
        <v>43</v>
      </c>
      <c r="H85" s="21" t="s">
        <v>14</v>
      </c>
      <c r="I85" s="23" t="s">
        <v>49</v>
      </c>
    </row>
    <row r="86" spans="1:9" ht="15.75" x14ac:dyDescent="0.25">
      <c r="A86" s="22">
        <v>44764</v>
      </c>
      <c r="B86" s="19" t="str">
        <f>IF(A86&lt;&gt;"",VLOOKUP(MONTH(A86),Apoio!$A$2:$B$13,2,0),"")</f>
        <v>Jul</v>
      </c>
      <c r="C86" s="40">
        <f>IF(A86&lt;&gt;"",YEAR(Tabela1[[#This Row],[Data]]),"")</f>
        <v>2022</v>
      </c>
      <c r="D86" s="20">
        <v>80</v>
      </c>
      <c r="E86" s="19" t="s">
        <v>11</v>
      </c>
      <c r="F86" s="21" t="s">
        <v>39</v>
      </c>
      <c r="G86" s="21" t="s">
        <v>46</v>
      </c>
      <c r="H86" s="21" t="s">
        <v>14</v>
      </c>
      <c r="I86" s="23" t="s">
        <v>49</v>
      </c>
    </row>
    <row r="87" spans="1:9" ht="15.75" x14ac:dyDescent="0.25">
      <c r="A87" s="22">
        <v>44765</v>
      </c>
      <c r="B87" s="19" t="str">
        <f>IF(A87&lt;&gt;"",VLOOKUP(MONTH(A87),Apoio!$A$2:$B$13,2,0),"")</f>
        <v>Jul</v>
      </c>
      <c r="C87" s="40">
        <f>IF(A87&lt;&gt;"",YEAR(Tabela1[[#This Row],[Data]]),"")</f>
        <v>2022</v>
      </c>
      <c r="D87" s="20">
        <v>100</v>
      </c>
      <c r="E87" s="19" t="s">
        <v>11</v>
      </c>
      <c r="F87" s="21" t="s">
        <v>37</v>
      </c>
      <c r="G87" s="21" t="s">
        <v>38</v>
      </c>
      <c r="H87" s="21" t="s">
        <v>36</v>
      </c>
      <c r="I87" s="23" t="s">
        <v>49</v>
      </c>
    </row>
    <row r="88" spans="1:9" ht="15.75" x14ac:dyDescent="0.25">
      <c r="A88" s="22">
        <v>44765</v>
      </c>
      <c r="B88" s="19" t="str">
        <f>IF(A88&lt;&gt;"",VLOOKUP(MONTH(A88),Apoio!$A$2:$B$13,2,0),"")</f>
        <v>Jul</v>
      </c>
      <c r="C88" s="40">
        <f>IF(A88&lt;&gt;"",YEAR(Tabela1[[#This Row],[Data]]),"")</f>
        <v>2022</v>
      </c>
      <c r="D88" s="20">
        <v>9.9</v>
      </c>
      <c r="E88" s="19" t="s">
        <v>11</v>
      </c>
      <c r="F88" s="21" t="s">
        <v>28</v>
      </c>
      <c r="G88" s="21" t="s">
        <v>30</v>
      </c>
      <c r="H88" s="21" t="s">
        <v>25</v>
      </c>
      <c r="I88" s="23" t="s">
        <v>41</v>
      </c>
    </row>
    <row r="89" spans="1:9" ht="15.75" x14ac:dyDescent="0.25">
      <c r="A89" s="22">
        <v>44765</v>
      </c>
      <c r="B89" s="19" t="str">
        <f>IF(A89&lt;&gt;"",VLOOKUP(MONTH(A89),Apoio!$A$2:$B$13,2,0),"")</f>
        <v>Jul</v>
      </c>
      <c r="C89" s="40">
        <f>IF(A89&lt;&gt;"",YEAR(Tabela1[[#This Row],[Data]]),"")</f>
        <v>2022</v>
      </c>
      <c r="D89" s="20">
        <v>8.9</v>
      </c>
      <c r="E89" s="19" t="s">
        <v>11</v>
      </c>
      <c r="F89" s="21" t="s">
        <v>28</v>
      </c>
      <c r="G89" s="21" t="s">
        <v>29</v>
      </c>
      <c r="H89" s="21" t="s">
        <v>25</v>
      </c>
      <c r="I89" s="23" t="s">
        <v>41</v>
      </c>
    </row>
    <row r="90" spans="1:9" ht="15.75" x14ac:dyDescent="0.25">
      <c r="A90" s="22">
        <v>44767</v>
      </c>
      <c r="B90" s="19" t="str">
        <f>IF(A90&lt;&gt;"",VLOOKUP(MONTH(A90),Apoio!$A$2:$B$13,2,0),"")</f>
        <v>Jul</v>
      </c>
      <c r="C90" s="40">
        <f>IF(A90&lt;&gt;"",YEAR(Tabela1[[#This Row],[Data]]),"")</f>
        <v>2022</v>
      </c>
      <c r="D90" s="20">
        <v>30.24</v>
      </c>
      <c r="E90" s="19" t="s">
        <v>11</v>
      </c>
      <c r="F90" s="21" t="s">
        <v>39</v>
      </c>
      <c r="G90" s="21" t="s">
        <v>40</v>
      </c>
      <c r="H90" s="21" t="s">
        <v>14</v>
      </c>
      <c r="I90" s="23" t="s">
        <v>49</v>
      </c>
    </row>
    <row r="91" spans="1:9" ht="15.75" x14ac:dyDescent="0.25">
      <c r="A91" s="22">
        <v>44778</v>
      </c>
      <c r="B91" s="19" t="str">
        <f>IF(A91&lt;&gt;"",VLOOKUP(MONTH(A91),Apoio!$A$2:$B$13,2,0),"")</f>
        <v>Ago</v>
      </c>
      <c r="C91" s="40">
        <f>IF(A91&lt;&gt;"",YEAR(Tabela1[[#This Row],[Data]]),"")</f>
        <v>2022</v>
      </c>
      <c r="D91" s="20">
        <v>1447.03</v>
      </c>
      <c r="E91" s="19" t="s">
        <v>11</v>
      </c>
      <c r="F91" s="21" t="s">
        <v>56</v>
      </c>
      <c r="G91" s="21" t="s">
        <v>57</v>
      </c>
      <c r="H91" s="21" t="s">
        <v>14</v>
      </c>
      <c r="I91" s="23" t="s">
        <v>41</v>
      </c>
    </row>
    <row r="92" spans="1:9" ht="15.75" x14ac:dyDescent="0.25">
      <c r="A92" s="22">
        <v>44778</v>
      </c>
      <c r="B92" s="19" t="str">
        <f>IF(A92&lt;&gt;"",VLOOKUP(MONTH(A92),Apoio!$A$2:$B$13,2,0),"")</f>
        <v>Ago</v>
      </c>
      <c r="C92" s="40">
        <f>IF(A92&lt;&gt;"",YEAR(Tabela1[[#This Row],[Data]]),"")</f>
        <v>2022</v>
      </c>
      <c r="D92" s="20">
        <v>350</v>
      </c>
      <c r="E92" s="19" t="s">
        <v>11</v>
      </c>
      <c r="F92" s="21" t="s">
        <v>55</v>
      </c>
      <c r="G92" s="21" t="s">
        <v>55</v>
      </c>
      <c r="H92" s="21" t="s">
        <v>14</v>
      </c>
      <c r="I92" s="23" t="s">
        <v>49</v>
      </c>
    </row>
    <row r="93" spans="1:9" ht="15.75" x14ac:dyDescent="0.25">
      <c r="A93" s="22">
        <v>44778</v>
      </c>
      <c r="B93" s="19" t="str">
        <f>IF(A93&lt;&gt;"",VLOOKUP(MONTH(A93),Apoio!$A$2:$B$13,2,0),"")</f>
        <v>Ago</v>
      </c>
      <c r="C93" s="40">
        <f>IF(A93&lt;&gt;"",YEAR(Tabela1[[#This Row],[Data]]),"")</f>
        <v>2022</v>
      </c>
      <c r="D93" s="20">
        <v>4134.37</v>
      </c>
      <c r="E93" s="19" t="s">
        <v>52</v>
      </c>
      <c r="F93" s="21" t="s">
        <v>53</v>
      </c>
      <c r="G93" s="21" t="s">
        <v>54</v>
      </c>
      <c r="H93" s="21" t="s">
        <v>14</v>
      </c>
      <c r="I93" s="23" t="s">
        <v>49</v>
      </c>
    </row>
    <row r="94" spans="1:9" ht="15.75" x14ac:dyDescent="0.25">
      <c r="A94" s="22">
        <v>44778</v>
      </c>
      <c r="B94" s="19" t="str">
        <f>IF(A94&lt;&gt;"",VLOOKUP(MONTH(A94),Apoio!$A$2:$B$13,2,0),"")</f>
        <v>Ago</v>
      </c>
      <c r="C94" s="40">
        <f>IF(A94&lt;&gt;"",YEAR(Tabela1[[#This Row],[Data]]),"")</f>
        <v>2022</v>
      </c>
      <c r="D94" s="20">
        <v>294.10000000000002</v>
      </c>
      <c r="E94" s="19" t="s">
        <v>11</v>
      </c>
      <c r="F94" s="21" t="s">
        <v>50</v>
      </c>
      <c r="G94" s="21" t="s">
        <v>51</v>
      </c>
      <c r="H94" s="21" t="s">
        <v>14</v>
      </c>
      <c r="I94" s="23" t="s">
        <v>49</v>
      </c>
    </row>
    <row r="95" spans="1:9" ht="15.75" x14ac:dyDescent="0.25">
      <c r="A95" s="22">
        <v>44778</v>
      </c>
      <c r="B95" s="19" t="str">
        <f>IF(A95&lt;&gt;"",VLOOKUP(MONTH(A95),Apoio!$A$2:$B$13,2,0),"")</f>
        <v>Ago</v>
      </c>
      <c r="C95" s="40">
        <f>IF(A95&lt;&gt;"",YEAR(Tabela1[[#This Row],[Data]]),"")</f>
        <v>2022</v>
      </c>
      <c r="D95" s="20">
        <v>7.97</v>
      </c>
      <c r="E95" s="19" t="s">
        <v>11</v>
      </c>
      <c r="F95" s="21" t="s">
        <v>47</v>
      </c>
      <c r="G95" s="21" t="s">
        <v>48</v>
      </c>
      <c r="H95" s="21" t="s">
        <v>14</v>
      </c>
      <c r="I95" s="23" t="s">
        <v>49</v>
      </c>
    </row>
    <row r="96" spans="1:9" ht="15.75" x14ac:dyDescent="0.25">
      <c r="A96" s="22">
        <v>44778</v>
      </c>
      <c r="B96" s="19" t="str">
        <f>IF(A96&lt;&gt;"",VLOOKUP(MONTH(A96),Apoio!$A$2:$B$13,2,0),"")</f>
        <v>Ago</v>
      </c>
      <c r="C96" s="40">
        <f>IF(A96&lt;&gt;"",YEAR(Tabela1[[#This Row],[Data]]),"")</f>
        <v>2022</v>
      </c>
      <c r="D96" s="20">
        <v>320</v>
      </c>
      <c r="E96" s="19" t="s">
        <v>11</v>
      </c>
      <c r="F96" s="21" t="s">
        <v>12</v>
      </c>
      <c r="G96" s="21" t="s">
        <v>13</v>
      </c>
      <c r="H96" s="21" t="s">
        <v>14</v>
      </c>
      <c r="I96" s="23" t="s">
        <v>49</v>
      </c>
    </row>
    <row r="97" spans="1:9" ht="15.75" x14ac:dyDescent="0.25">
      <c r="A97" s="22">
        <v>44783</v>
      </c>
      <c r="B97" s="19" t="str">
        <f>IF(A97&lt;&gt;"",VLOOKUP(MONTH(A97),Apoio!$A$2:$B$13,2,0),"")</f>
        <v>Ago</v>
      </c>
      <c r="C97" s="40">
        <f>IF(A97&lt;&gt;"",YEAR(Tabela1[[#This Row],[Data]]),"")</f>
        <v>2022</v>
      </c>
      <c r="D97" s="20">
        <v>69.900000000000006</v>
      </c>
      <c r="E97" s="19" t="s">
        <v>11</v>
      </c>
      <c r="F97" s="21" t="s">
        <v>58</v>
      </c>
      <c r="G97" s="21" t="s">
        <v>59</v>
      </c>
      <c r="H97" s="21" t="s">
        <v>14</v>
      </c>
      <c r="I97" s="23" t="s">
        <v>49</v>
      </c>
    </row>
    <row r="98" spans="1:9" ht="15.75" x14ac:dyDescent="0.25">
      <c r="A98" s="22">
        <v>44783</v>
      </c>
      <c r="B98" s="19" t="str">
        <f>IF(A98&lt;&gt;"",VLOOKUP(MONTH(A98),Apoio!$A$2:$B$13,2,0),"")</f>
        <v>Ago</v>
      </c>
      <c r="C98" s="40">
        <f>IF(A98&lt;&gt;"",YEAR(Tabela1[[#This Row],[Data]]),"")</f>
        <v>2022</v>
      </c>
      <c r="D98" s="20">
        <v>650.49</v>
      </c>
      <c r="E98" s="19" t="s">
        <v>11</v>
      </c>
      <c r="F98" s="21" t="s">
        <v>16</v>
      </c>
      <c r="G98" s="21" t="s">
        <v>19</v>
      </c>
      <c r="H98" s="21" t="s">
        <v>14</v>
      </c>
      <c r="I98" s="23" t="s">
        <v>49</v>
      </c>
    </row>
    <row r="99" spans="1:9" ht="15.75" x14ac:dyDescent="0.25">
      <c r="A99" s="22">
        <v>44783</v>
      </c>
      <c r="B99" s="19" t="str">
        <f>IF(A99&lt;&gt;"",VLOOKUP(MONTH(A99),Apoio!$A$2:$B$13,2,0),"")</f>
        <v>Ago</v>
      </c>
      <c r="C99" s="40">
        <f>IF(A99&lt;&gt;"",YEAR(Tabela1[[#This Row],[Data]]),"")</f>
        <v>2022</v>
      </c>
      <c r="D99" s="20">
        <v>520.24</v>
      </c>
      <c r="E99" s="19" t="s">
        <v>11</v>
      </c>
      <c r="F99" s="21" t="s">
        <v>16</v>
      </c>
      <c r="G99" s="21" t="s">
        <v>18</v>
      </c>
      <c r="H99" s="21" t="s">
        <v>14</v>
      </c>
      <c r="I99" s="23" t="s">
        <v>49</v>
      </c>
    </row>
    <row r="100" spans="1:9" ht="15.75" x14ac:dyDescent="0.25">
      <c r="A100" s="22">
        <v>44783</v>
      </c>
      <c r="B100" s="19" t="str">
        <f>IF(A100&lt;&gt;"",VLOOKUP(MONTH(A100),Apoio!$A$2:$B$13,2,0),"")</f>
        <v>Ago</v>
      </c>
      <c r="C100" s="40">
        <f>IF(A100&lt;&gt;"",YEAR(Tabela1[[#This Row],[Data]]),"")</f>
        <v>2022</v>
      </c>
      <c r="D100" s="20">
        <v>25.83</v>
      </c>
      <c r="E100" s="19" t="s">
        <v>11</v>
      </c>
      <c r="F100" s="21" t="s">
        <v>16</v>
      </c>
      <c r="G100" s="21" t="s">
        <v>17</v>
      </c>
      <c r="H100" s="21" t="s">
        <v>14</v>
      </c>
      <c r="I100" s="23" t="s">
        <v>49</v>
      </c>
    </row>
    <row r="101" spans="1:9" ht="15.75" x14ac:dyDescent="0.25">
      <c r="A101" s="22">
        <v>44788</v>
      </c>
      <c r="B101" s="19" t="str">
        <f>IF(A101&lt;&gt;"",VLOOKUP(MONTH(A101),Apoio!$A$2:$B$13,2,0),"")</f>
        <v>Ago</v>
      </c>
      <c r="C101" s="40">
        <f>IF(A101&lt;&gt;"",YEAR(Tabela1[[#This Row],[Data]]),"")</f>
        <v>2022</v>
      </c>
      <c r="D101" s="20">
        <v>99</v>
      </c>
      <c r="E101" s="19" t="s">
        <v>11</v>
      </c>
      <c r="F101" s="21" t="s">
        <v>58</v>
      </c>
      <c r="G101" s="21" t="s">
        <v>61</v>
      </c>
      <c r="H101" s="21" t="s">
        <v>14</v>
      </c>
      <c r="I101" s="23" t="s">
        <v>49</v>
      </c>
    </row>
    <row r="102" spans="1:9" ht="15.75" x14ac:dyDescent="0.25">
      <c r="A102" s="22">
        <v>44788</v>
      </c>
      <c r="B102" s="19" t="str">
        <f>IF(A102&lt;&gt;"",VLOOKUP(MONTH(A102),Apoio!$A$2:$B$13,2,0),"")</f>
        <v>Ago</v>
      </c>
      <c r="C102" s="40">
        <f>IF(A102&lt;&gt;"",YEAR(Tabela1[[#This Row],[Data]]),"")</f>
        <v>2022</v>
      </c>
      <c r="D102" s="20">
        <v>14.9</v>
      </c>
      <c r="E102" s="19" t="s">
        <v>11</v>
      </c>
      <c r="F102" s="21" t="s">
        <v>26</v>
      </c>
      <c r="G102" s="21" t="s">
        <v>60</v>
      </c>
      <c r="H102" s="21" t="s">
        <v>14</v>
      </c>
      <c r="I102" s="23" t="s">
        <v>49</v>
      </c>
    </row>
    <row r="103" spans="1:9" ht="15.75" x14ac:dyDescent="0.25">
      <c r="A103" s="22">
        <v>44793</v>
      </c>
      <c r="B103" s="19" t="str">
        <f>IF(A103&lt;&gt;"",VLOOKUP(MONTH(A103),Apoio!$A$2:$B$13,2,0),"")</f>
        <v>Ago</v>
      </c>
      <c r="C103" s="40">
        <f>IF(A103&lt;&gt;"",YEAR(Tabela1[[#This Row],[Data]]),"")</f>
        <v>2022</v>
      </c>
      <c r="D103" s="20">
        <v>4633.79</v>
      </c>
      <c r="E103" s="19" t="s">
        <v>52</v>
      </c>
      <c r="F103" s="21" t="s">
        <v>53</v>
      </c>
      <c r="G103" s="21" t="s">
        <v>63</v>
      </c>
      <c r="H103" s="21" t="s">
        <v>14</v>
      </c>
      <c r="I103" s="23" t="s">
        <v>49</v>
      </c>
    </row>
    <row r="104" spans="1:9" ht="15.75" x14ac:dyDescent="0.25">
      <c r="A104" s="22">
        <v>44793</v>
      </c>
      <c r="B104" s="19" t="str">
        <f>IF(A104&lt;&gt;"",VLOOKUP(MONTH(A104),Apoio!$A$2:$B$13,2,0),"")</f>
        <v>Ago</v>
      </c>
      <c r="C104" s="40">
        <f>IF(A104&lt;&gt;"",YEAR(Tabela1[[#This Row],[Data]]),"")</f>
        <v>2022</v>
      </c>
      <c r="D104" s="20">
        <v>363.82</v>
      </c>
      <c r="E104" s="19" t="s">
        <v>11</v>
      </c>
      <c r="F104" s="21" t="s">
        <v>50</v>
      </c>
      <c r="G104" s="21" t="s">
        <v>62</v>
      </c>
      <c r="H104" s="21" t="s">
        <v>14</v>
      </c>
      <c r="I104" s="23" t="s">
        <v>49</v>
      </c>
    </row>
    <row r="105" spans="1:9" ht="15.75" x14ac:dyDescent="0.25">
      <c r="A105" s="22">
        <v>44794</v>
      </c>
      <c r="B105" s="19" t="str">
        <f>IF(A105&lt;&gt;"",VLOOKUP(MONTH(A105),Apoio!$A$2:$B$13,2,0),"")</f>
        <v>Ago</v>
      </c>
      <c r="C105" s="40">
        <f>IF(A105&lt;&gt;"",YEAR(Tabela1[[#This Row],[Data]]),"")</f>
        <v>2022</v>
      </c>
      <c r="D105" s="20">
        <v>95.14</v>
      </c>
      <c r="E105" s="19" t="s">
        <v>11</v>
      </c>
      <c r="F105" s="21" t="s">
        <v>42</v>
      </c>
      <c r="G105" s="21" t="s">
        <v>44</v>
      </c>
      <c r="H105" s="21" t="s">
        <v>14</v>
      </c>
      <c r="I105" s="23" t="s">
        <v>49</v>
      </c>
    </row>
    <row r="106" spans="1:9" ht="15.75" x14ac:dyDescent="0.25">
      <c r="A106" s="22">
        <v>44794</v>
      </c>
      <c r="B106" s="19" t="str">
        <f>IF(A106&lt;&gt;"",VLOOKUP(MONTH(A106),Apoio!$A$2:$B$13,2,0),"")</f>
        <v>Ago</v>
      </c>
      <c r="C106" s="40">
        <f>IF(A106&lt;&gt;"",YEAR(Tabela1[[#This Row],[Data]]),"")</f>
        <v>2022</v>
      </c>
      <c r="D106" s="20">
        <v>206.52</v>
      </c>
      <c r="E106" s="19" t="s">
        <v>11</v>
      </c>
      <c r="F106" s="21" t="s">
        <v>42</v>
      </c>
      <c r="G106" s="21" t="s">
        <v>43</v>
      </c>
      <c r="H106" s="21" t="s">
        <v>14</v>
      </c>
      <c r="I106" s="23" t="s">
        <v>49</v>
      </c>
    </row>
    <row r="107" spans="1:9" ht="15.75" x14ac:dyDescent="0.25">
      <c r="A107" s="22">
        <v>44795</v>
      </c>
      <c r="B107" s="19" t="str">
        <f>IF(A107&lt;&gt;"",VLOOKUP(MONTH(A107),Apoio!$A$2:$B$13,2,0),"")</f>
        <v>Ago</v>
      </c>
      <c r="C107" s="40">
        <f>IF(A107&lt;&gt;"",YEAR(Tabela1[[#This Row],[Data]]),"")</f>
        <v>2022</v>
      </c>
      <c r="D107" s="20">
        <v>80</v>
      </c>
      <c r="E107" s="19" t="s">
        <v>11</v>
      </c>
      <c r="F107" s="21" t="s">
        <v>39</v>
      </c>
      <c r="G107" s="21" t="s">
        <v>46</v>
      </c>
      <c r="H107" s="21" t="s">
        <v>14</v>
      </c>
      <c r="I107" s="23" t="s">
        <v>49</v>
      </c>
    </row>
    <row r="108" spans="1:9" ht="15.75" x14ac:dyDescent="0.25">
      <c r="A108" s="22">
        <v>44796</v>
      </c>
      <c r="B108" s="19" t="str">
        <f>IF(A108&lt;&gt;"",VLOOKUP(MONTH(A108),Apoio!$A$2:$B$13,2,0),"")</f>
        <v>Ago</v>
      </c>
      <c r="C108" s="40">
        <f>IF(A108&lt;&gt;"",YEAR(Tabela1[[#This Row],[Data]]),"")</f>
        <v>2022</v>
      </c>
      <c r="D108" s="20">
        <v>100</v>
      </c>
      <c r="E108" s="19" t="s">
        <v>11</v>
      </c>
      <c r="F108" s="21" t="s">
        <v>37</v>
      </c>
      <c r="G108" s="21" t="s">
        <v>38</v>
      </c>
      <c r="H108" s="21" t="s">
        <v>36</v>
      </c>
      <c r="I108" s="23" t="s">
        <v>49</v>
      </c>
    </row>
    <row r="109" spans="1:9" ht="15.75" x14ac:dyDescent="0.25">
      <c r="A109" s="22">
        <v>44796</v>
      </c>
      <c r="B109" s="19" t="str">
        <f>IF(A109&lt;&gt;"",VLOOKUP(MONTH(A109),Apoio!$A$2:$B$13,2,0),"")</f>
        <v>Ago</v>
      </c>
      <c r="C109" s="40">
        <f>IF(A109&lt;&gt;"",YEAR(Tabela1[[#This Row],[Data]]),"")</f>
        <v>2022</v>
      </c>
      <c r="D109" s="20">
        <v>9.9</v>
      </c>
      <c r="E109" s="19" t="s">
        <v>11</v>
      </c>
      <c r="F109" s="21" t="s">
        <v>28</v>
      </c>
      <c r="G109" s="21" t="s">
        <v>30</v>
      </c>
      <c r="H109" s="21" t="s">
        <v>25</v>
      </c>
      <c r="I109" s="23" t="s">
        <v>41</v>
      </c>
    </row>
    <row r="110" spans="1:9" ht="15.75" x14ac:dyDescent="0.25">
      <c r="A110" s="22">
        <v>44796</v>
      </c>
      <c r="B110" s="19" t="str">
        <f>IF(A110&lt;&gt;"",VLOOKUP(MONTH(A110),Apoio!$A$2:$B$13,2,0),"")</f>
        <v>Ago</v>
      </c>
      <c r="C110" s="40">
        <f>IF(A110&lt;&gt;"",YEAR(Tabela1[[#This Row],[Data]]),"")</f>
        <v>2022</v>
      </c>
      <c r="D110" s="20">
        <v>8.9</v>
      </c>
      <c r="E110" s="19" t="s">
        <v>11</v>
      </c>
      <c r="F110" s="21" t="s">
        <v>28</v>
      </c>
      <c r="G110" s="21" t="s">
        <v>29</v>
      </c>
      <c r="H110" s="21" t="s">
        <v>25</v>
      </c>
      <c r="I110" s="23" t="s">
        <v>41</v>
      </c>
    </row>
    <row r="111" spans="1:9" ht="15.75" x14ac:dyDescent="0.25">
      <c r="A111" s="22">
        <v>44798</v>
      </c>
      <c r="B111" s="19" t="str">
        <f>IF(A111&lt;&gt;"",VLOOKUP(MONTH(A111),Apoio!$A$2:$B$13,2,0),"")</f>
        <v>Ago</v>
      </c>
      <c r="C111" s="40">
        <f>IF(A111&lt;&gt;"",YEAR(Tabela1[[#This Row],[Data]]),"")</f>
        <v>2022</v>
      </c>
      <c r="D111" s="20">
        <v>30.24</v>
      </c>
      <c r="E111" s="19" t="s">
        <v>11</v>
      </c>
      <c r="F111" s="21" t="s">
        <v>39</v>
      </c>
      <c r="G111" s="21" t="s">
        <v>40</v>
      </c>
      <c r="H111" s="21" t="s">
        <v>14</v>
      </c>
      <c r="I111" s="23" t="s">
        <v>49</v>
      </c>
    </row>
    <row r="112" spans="1:9" ht="15.75" x14ac:dyDescent="0.25">
      <c r="A112" s="22">
        <v>44809</v>
      </c>
      <c r="B112" s="19" t="str">
        <f>IF(A112&lt;&gt;"",VLOOKUP(MONTH(A112),Apoio!$A$2:$B$13,2,0),"")</f>
        <v>Set</v>
      </c>
      <c r="C112" s="40">
        <f>IF(A112&lt;&gt;"",YEAR(Tabela1[[#This Row],[Data]]),"")</f>
        <v>2022</v>
      </c>
      <c r="D112" s="20">
        <v>500</v>
      </c>
      <c r="E112" s="19" t="s">
        <v>11</v>
      </c>
      <c r="F112" s="21" t="s">
        <v>55</v>
      </c>
      <c r="G112" s="21" t="s">
        <v>71</v>
      </c>
      <c r="H112" s="21" t="s">
        <v>14</v>
      </c>
      <c r="I112" s="23" t="s">
        <v>49</v>
      </c>
    </row>
    <row r="113" spans="1:9" ht="15.75" x14ac:dyDescent="0.25">
      <c r="A113" s="22">
        <v>44809</v>
      </c>
      <c r="B113" s="19" t="str">
        <f>IF(A113&lt;&gt;"",VLOOKUP(MONTH(A113),Apoio!$A$2:$B$13,2,0),"")</f>
        <v>Set</v>
      </c>
      <c r="C113" s="40">
        <f>IF(A113&lt;&gt;"",YEAR(Tabela1[[#This Row],[Data]]),"")</f>
        <v>2022</v>
      </c>
      <c r="D113" s="20">
        <v>1447.03</v>
      </c>
      <c r="E113" s="19" t="s">
        <v>11</v>
      </c>
      <c r="F113" s="21" t="s">
        <v>56</v>
      </c>
      <c r="G113" s="21" t="s">
        <v>57</v>
      </c>
      <c r="H113" s="21" t="s">
        <v>14</v>
      </c>
      <c r="I113" s="23" t="s">
        <v>41</v>
      </c>
    </row>
    <row r="114" spans="1:9" ht="15.75" x14ac:dyDescent="0.25">
      <c r="A114" s="22">
        <v>44809</v>
      </c>
      <c r="B114" s="19" t="str">
        <f>IF(A114&lt;&gt;"",VLOOKUP(MONTH(A114),Apoio!$A$2:$B$13,2,0),"")</f>
        <v>Set</v>
      </c>
      <c r="C114" s="40">
        <f>IF(A114&lt;&gt;"",YEAR(Tabela1[[#This Row],[Data]]),"")</f>
        <v>2022</v>
      </c>
      <c r="D114" s="20">
        <v>350</v>
      </c>
      <c r="E114" s="19" t="s">
        <v>11</v>
      </c>
      <c r="F114" s="21" t="s">
        <v>55</v>
      </c>
      <c r="G114" s="21" t="s">
        <v>55</v>
      </c>
      <c r="H114" s="21" t="s">
        <v>14</v>
      </c>
      <c r="I114" s="23" t="s">
        <v>49</v>
      </c>
    </row>
    <row r="115" spans="1:9" ht="15.75" x14ac:dyDescent="0.25">
      <c r="A115" s="22">
        <v>44809</v>
      </c>
      <c r="B115" s="19" t="str">
        <f>IF(A115&lt;&gt;"",VLOOKUP(MONTH(A115),Apoio!$A$2:$B$13,2,0),"")</f>
        <v>Set</v>
      </c>
      <c r="C115" s="40">
        <f>IF(A115&lt;&gt;"",YEAR(Tabela1[[#This Row],[Data]]),"")</f>
        <v>2022</v>
      </c>
      <c r="D115" s="20">
        <v>4134.37</v>
      </c>
      <c r="E115" s="19" t="s">
        <v>52</v>
      </c>
      <c r="F115" s="21" t="s">
        <v>53</v>
      </c>
      <c r="G115" s="21" t="s">
        <v>54</v>
      </c>
      <c r="H115" s="21" t="s">
        <v>14</v>
      </c>
      <c r="I115" s="23" t="s">
        <v>49</v>
      </c>
    </row>
    <row r="116" spans="1:9" ht="15.75" x14ac:dyDescent="0.25">
      <c r="A116" s="22">
        <v>44809</v>
      </c>
      <c r="B116" s="19" t="str">
        <f>IF(A116&lt;&gt;"",VLOOKUP(MONTH(A116),Apoio!$A$2:$B$13,2,0),"")</f>
        <v>Set</v>
      </c>
      <c r="C116" s="40">
        <f>IF(A116&lt;&gt;"",YEAR(Tabela1[[#This Row],[Data]]),"")</f>
        <v>2022</v>
      </c>
      <c r="D116" s="20">
        <v>294.10000000000002</v>
      </c>
      <c r="E116" s="19" t="s">
        <v>11</v>
      </c>
      <c r="F116" s="21" t="s">
        <v>50</v>
      </c>
      <c r="G116" s="21" t="s">
        <v>51</v>
      </c>
      <c r="H116" s="21" t="s">
        <v>14</v>
      </c>
      <c r="I116" s="23" t="s">
        <v>49</v>
      </c>
    </row>
    <row r="117" spans="1:9" ht="15.75" x14ac:dyDescent="0.25">
      <c r="A117" s="22">
        <v>44809</v>
      </c>
      <c r="B117" s="19" t="str">
        <f>IF(A117&lt;&gt;"",VLOOKUP(MONTH(A117),Apoio!$A$2:$B$13,2,0),"")</f>
        <v>Set</v>
      </c>
      <c r="C117" s="40">
        <f>IF(A117&lt;&gt;"",YEAR(Tabela1[[#This Row],[Data]]),"")</f>
        <v>2022</v>
      </c>
      <c r="D117" s="20">
        <v>7.97</v>
      </c>
      <c r="E117" s="19" t="s">
        <v>11</v>
      </c>
      <c r="F117" s="21" t="s">
        <v>47</v>
      </c>
      <c r="G117" s="21" t="s">
        <v>48</v>
      </c>
      <c r="H117" s="21" t="s">
        <v>14</v>
      </c>
      <c r="I117" s="23" t="s">
        <v>49</v>
      </c>
    </row>
    <row r="118" spans="1:9" ht="15.75" x14ac:dyDescent="0.25">
      <c r="A118" s="22">
        <v>44809</v>
      </c>
      <c r="B118" s="19" t="str">
        <f>IF(A118&lt;&gt;"",VLOOKUP(MONTH(A118),Apoio!$A$2:$B$13,2,0),"")</f>
        <v>Set</v>
      </c>
      <c r="C118" s="40">
        <f>IF(A118&lt;&gt;"",YEAR(Tabela1[[#This Row],[Data]]),"")</f>
        <v>2022</v>
      </c>
      <c r="D118" s="20">
        <v>320</v>
      </c>
      <c r="E118" s="19" t="s">
        <v>11</v>
      </c>
      <c r="F118" s="21" t="s">
        <v>12</v>
      </c>
      <c r="G118" s="21" t="s">
        <v>13</v>
      </c>
      <c r="H118" s="21" t="s">
        <v>14</v>
      </c>
      <c r="I118" s="23" t="s">
        <v>49</v>
      </c>
    </row>
    <row r="119" spans="1:9" ht="15.75" x14ac:dyDescent="0.25">
      <c r="A119" s="22">
        <v>44814</v>
      </c>
      <c r="B119" s="19" t="str">
        <f>IF(A119&lt;&gt;"",VLOOKUP(MONTH(A119),Apoio!$A$2:$B$13,2,0),"")</f>
        <v>Set</v>
      </c>
      <c r="C119" s="40">
        <f>IF(A119&lt;&gt;"",YEAR(Tabela1[[#This Row],[Data]]),"")</f>
        <v>2022</v>
      </c>
      <c r="D119" s="20">
        <v>69.900000000000006</v>
      </c>
      <c r="E119" s="19" t="s">
        <v>11</v>
      </c>
      <c r="F119" s="21" t="s">
        <v>58</v>
      </c>
      <c r="G119" s="21" t="s">
        <v>59</v>
      </c>
      <c r="H119" s="21" t="s">
        <v>14</v>
      </c>
      <c r="I119" s="23" t="s">
        <v>49</v>
      </c>
    </row>
    <row r="120" spans="1:9" ht="15.75" x14ac:dyDescent="0.25">
      <c r="A120" s="22">
        <v>44814</v>
      </c>
      <c r="B120" s="19" t="str">
        <f>IF(A120&lt;&gt;"",VLOOKUP(MONTH(A120),Apoio!$A$2:$B$13,2,0),"")</f>
        <v>Set</v>
      </c>
      <c r="C120" s="40">
        <f>IF(A120&lt;&gt;"",YEAR(Tabela1[[#This Row],[Data]]),"")</f>
        <v>2022</v>
      </c>
      <c r="D120" s="20">
        <v>650.49</v>
      </c>
      <c r="E120" s="19" t="s">
        <v>11</v>
      </c>
      <c r="F120" s="21" t="s">
        <v>16</v>
      </c>
      <c r="G120" s="21" t="s">
        <v>19</v>
      </c>
      <c r="H120" s="21" t="s">
        <v>14</v>
      </c>
      <c r="I120" s="23" t="s">
        <v>49</v>
      </c>
    </row>
    <row r="121" spans="1:9" ht="15.75" x14ac:dyDescent="0.25">
      <c r="A121" s="22">
        <v>44814</v>
      </c>
      <c r="B121" s="19" t="str">
        <f>IF(A121&lt;&gt;"",VLOOKUP(MONTH(A121),Apoio!$A$2:$B$13,2,0),"")</f>
        <v>Set</v>
      </c>
      <c r="C121" s="40">
        <f>IF(A121&lt;&gt;"",YEAR(Tabela1[[#This Row],[Data]]),"")</f>
        <v>2022</v>
      </c>
      <c r="D121" s="20">
        <v>520.24</v>
      </c>
      <c r="E121" s="19" t="s">
        <v>11</v>
      </c>
      <c r="F121" s="21" t="s">
        <v>16</v>
      </c>
      <c r="G121" s="21" t="s">
        <v>18</v>
      </c>
      <c r="H121" s="21" t="s">
        <v>14</v>
      </c>
      <c r="I121" s="23" t="s">
        <v>49</v>
      </c>
    </row>
    <row r="122" spans="1:9" ht="15.75" x14ac:dyDescent="0.25">
      <c r="A122" s="22">
        <v>44814</v>
      </c>
      <c r="B122" s="19" t="str">
        <f>IF(A122&lt;&gt;"",VLOOKUP(MONTH(A122),Apoio!$A$2:$B$13,2,0),"")</f>
        <v>Set</v>
      </c>
      <c r="C122" s="40">
        <f>IF(A122&lt;&gt;"",YEAR(Tabela1[[#This Row],[Data]]),"")</f>
        <v>2022</v>
      </c>
      <c r="D122" s="20">
        <v>25.83</v>
      </c>
      <c r="E122" s="19" t="s">
        <v>11</v>
      </c>
      <c r="F122" s="21" t="s">
        <v>16</v>
      </c>
      <c r="G122" s="21" t="s">
        <v>17</v>
      </c>
      <c r="H122" s="21" t="s">
        <v>14</v>
      </c>
      <c r="I122" s="23" t="s">
        <v>49</v>
      </c>
    </row>
    <row r="123" spans="1:9" ht="15.75" x14ac:dyDescent="0.25">
      <c r="A123" s="22">
        <v>44819</v>
      </c>
      <c r="B123" s="19" t="str">
        <f>IF(A123&lt;&gt;"",VLOOKUP(MONTH(A123),Apoio!$A$2:$B$13,2,0),"")</f>
        <v>Set</v>
      </c>
      <c r="C123" s="40">
        <f>IF(A123&lt;&gt;"",YEAR(Tabela1[[#This Row],[Data]]),"")</f>
        <v>2022</v>
      </c>
      <c r="D123" s="20">
        <v>99</v>
      </c>
      <c r="E123" s="19" t="s">
        <v>11</v>
      </c>
      <c r="F123" s="21" t="s">
        <v>58</v>
      </c>
      <c r="G123" s="21" t="s">
        <v>61</v>
      </c>
      <c r="H123" s="21" t="s">
        <v>14</v>
      </c>
      <c r="I123" s="23" t="s">
        <v>49</v>
      </c>
    </row>
    <row r="124" spans="1:9" ht="15.75" x14ac:dyDescent="0.25">
      <c r="A124" s="22">
        <v>44819</v>
      </c>
      <c r="B124" s="19" t="str">
        <f>IF(A124&lt;&gt;"",VLOOKUP(MONTH(A124),Apoio!$A$2:$B$13,2,0),"")</f>
        <v>Set</v>
      </c>
      <c r="C124" s="40">
        <f>IF(A124&lt;&gt;"",YEAR(Tabela1[[#This Row],[Data]]),"")</f>
        <v>2022</v>
      </c>
      <c r="D124" s="20">
        <v>14.9</v>
      </c>
      <c r="E124" s="19" t="s">
        <v>11</v>
      </c>
      <c r="F124" s="21" t="s">
        <v>26</v>
      </c>
      <c r="G124" s="21" t="s">
        <v>60</v>
      </c>
      <c r="H124" s="21" t="s">
        <v>14</v>
      </c>
      <c r="I124" s="23" t="s">
        <v>49</v>
      </c>
    </row>
    <row r="125" spans="1:9" ht="15.75" x14ac:dyDescent="0.25">
      <c r="A125" s="22">
        <v>44824</v>
      </c>
      <c r="B125" s="19" t="str">
        <f>IF(A125&lt;&gt;"",VLOOKUP(MONTH(A125),Apoio!$A$2:$B$13,2,0),"")</f>
        <v>Set</v>
      </c>
      <c r="C125" s="40">
        <f>IF(A125&lt;&gt;"",YEAR(Tabela1[[#This Row],[Data]]),"")</f>
        <v>2022</v>
      </c>
      <c r="D125" s="20">
        <v>4633.79</v>
      </c>
      <c r="E125" s="19" t="s">
        <v>52</v>
      </c>
      <c r="F125" s="21" t="s">
        <v>53</v>
      </c>
      <c r="G125" s="21" t="s">
        <v>63</v>
      </c>
      <c r="H125" s="21" t="s">
        <v>14</v>
      </c>
      <c r="I125" s="23" t="s">
        <v>49</v>
      </c>
    </row>
    <row r="126" spans="1:9" ht="15.75" x14ac:dyDescent="0.25">
      <c r="A126" s="22">
        <v>44824</v>
      </c>
      <c r="B126" s="19" t="str">
        <f>IF(A126&lt;&gt;"",VLOOKUP(MONTH(A126),Apoio!$A$2:$B$13,2,0),"")</f>
        <v>Set</v>
      </c>
      <c r="C126" s="40">
        <f>IF(A126&lt;&gt;"",YEAR(Tabela1[[#This Row],[Data]]),"")</f>
        <v>2022</v>
      </c>
      <c r="D126" s="20">
        <v>363.82</v>
      </c>
      <c r="E126" s="19" t="s">
        <v>11</v>
      </c>
      <c r="F126" s="21" t="s">
        <v>50</v>
      </c>
      <c r="G126" s="21" t="s">
        <v>62</v>
      </c>
      <c r="H126" s="21" t="s">
        <v>14</v>
      </c>
      <c r="I126" s="23" t="s">
        <v>49</v>
      </c>
    </row>
    <row r="127" spans="1:9" ht="15.75" x14ac:dyDescent="0.25">
      <c r="A127" s="22">
        <v>44825</v>
      </c>
      <c r="B127" s="19" t="str">
        <f>IF(A127&lt;&gt;"",VLOOKUP(MONTH(A127),Apoio!$A$2:$B$13,2,0),"")</f>
        <v>Set</v>
      </c>
      <c r="C127" s="40">
        <f>IF(A127&lt;&gt;"",YEAR(Tabela1[[#This Row],[Data]]),"")</f>
        <v>2022</v>
      </c>
      <c r="D127" s="20">
        <v>95.14</v>
      </c>
      <c r="E127" s="19" t="s">
        <v>11</v>
      </c>
      <c r="F127" s="21" t="s">
        <v>42</v>
      </c>
      <c r="G127" s="21" t="s">
        <v>44</v>
      </c>
      <c r="H127" s="21" t="s">
        <v>14</v>
      </c>
      <c r="I127" s="23" t="s">
        <v>49</v>
      </c>
    </row>
    <row r="128" spans="1:9" ht="15.75" x14ac:dyDescent="0.25">
      <c r="A128" s="22">
        <v>44825</v>
      </c>
      <c r="B128" s="19" t="str">
        <f>IF(A128&lt;&gt;"",VLOOKUP(MONTH(A128),Apoio!$A$2:$B$13,2,0),"")</f>
        <v>Set</v>
      </c>
      <c r="C128" s="40">
        <f>IF(A128&lt;&gt;"",YEAR(Tabela1[[#This Row],[Data]]),"")</f>
        <v>2022</v>
      </c>
      <c r="D128" s="20">
        <v>206.52</v>
      </c>
      <c r="E128" s="19" t="s">
        <v>11</v>
      </c>
      <c r="F128" s="21" t="s">
        <v>42</v>
      </c>
      <c r="G128" s="21" t="s">
        <v>43</v>
      </c>
      <c r="H128" s="21" t="s">
        <v>14</v>
      </c>
      <c r="I128" s="23" t="s">
        <v>49</v>
      </c>
    </row>
    <row r="129" spans="1:9" ht="15.75" x14ac:dyDescent="0.25">
      <c r="A129" s="22">
        <v>44826</v>
      </c>
      <c r="B129" s="19" t="str">
        <f>IF(A129&lt;&gt;"",VLOOKUP(MONTH(A129),Apoio!$A$2:$B$13,2,0),"")</f>
        <v>Set</v>
      </c>
      <c r="C129" s="40">
        <f>IF(A129&lt;&gt;"",YEAR(Tabela1[[#This Row],[Data]]),"")</f>
        <v>2022</v>
      </c>
      <c r="D129" s="20">
        <v>80</v>
      </c>
      <c r="E129" s="19" t="s">
        <v>11</v>
      </c>
      <c r="F129" s="21" t="s">
        <v>39</v>
      </c>
      <c r="G129" s="21" t="s">
        <v>46</v>
      </c>
      <c r="H129" s="21" t="s">
        <v>14</v>
      </c>
      <c r="I129" s="23" t="s">
        <v>49</v>
      </c>
    </row>
    <row r="130" spans="1:9" ht="15.75" x14ac:dyDescent="0.25">
      <c r="A130" s="22">
        <v>44827</v>
      </c>
      <c r="B130" s="19" t="str">
        <f>IF(A130&lt;&gt;"",VLOOKUP(MONTH(A130),Apoio!$A$2:$B$13,2,0),"")</f>
        <v>Set</v>
      </c>
      <c r="C130" s="40">
        <f>IF(A130&lt;&gt;"",YEAR(Tabela1[[#This Row],[Data]]),"")</f>
        <v>2022</v>
      </c>
      <c r="D130" s="20">
        <v>100</v>
      </c>
      <c r="E130" s="19" t="s">
        <v>11</v>
      </c>
      <c r="F130" s="21" t="s">
        <v>37</v>
      </c>
      <c r="G130" s="21" t="s">
        <v>38</v>
      </c>
      <c r="H130" s="21" t="s">
        <v>36</v>
      </c>
      <c r="I130" s="23" t="s">
        <v>49</v>
      </c>
    </row>
    <row r="131" spans="1:9" ht="15.75" x14ac:dyDescent="0.25">
      <c r="A131" s="22">
        <v>44827</v>
      </c>
      <c r="B131" s="19" t="str">
        <f>IF(A131&lt;&gt;"",VLOOKUP(MONTH(A131),Apoio!$A$2:$B$13,2,0),"")</f>
        <v>Set</v>
      </c>
      <c r="C131" s="40">
        <f>IF(A131&lt;&gt;"",YEAR(Tabela1[[#This Row],[Data]]),"")</f>
        <v>2022</v>
      </c>
      <c r="D131" s="20">
        <v>9.9</v>
      </c>
      <c r="E131" s="19" t="s">
        <v>11</v>
      </c>
      <c r="F131" s="21" t="s">
        <v>28</v>
      </c>
      <c r="G131" s="21" t="s">
        <v>30</v>
      </c>
      <c r="H131" s="21" t="s">
        <v>25</v>
      </c>
      <c r="I131" s="23" t="s">
        <v>41</v>
      </c>
    </row>
    <row r="132" spans="1:9" ht="15.75" x14ac:dyDescent="0.25">
      <c r="A132" s="22">
        <v>44827</v>
      </c>
      <c r="B132" s="19" t="str">
        <f>IF(A132&lt;&gt;"",VLOOKUP(MONTH(A132),Apoio!$A$2:$B$13,2,0),"")</f>
        <v>Set</v>
      </c>
      <c r="C132" s="40">
        <f>IF(A132&lt;&gt;"",YEAR(Tabela1[[#This Row],[Data]]),"")</f>
        <v>2022</v>
      </c>
      <c r="D132" s="20">
        <v>8.9</v>
      </c>
      <c r="E132" s="19" t="s">
        <v>11</v>
      </c>
      <c r="F132" s="21" t="s">
        <v>28</v>
      </c>
      <c r="G132" s="21" t="s">
        <v>29</v>
      </c>
      <c r="H132" s="21" t="s">
        <v>25</v>
      </c>
      <c r="I132" s="23" t="s">
        <v>41</v>
      </c>
    </row>
    <row r="133" spans="1:9" ht="15.75" x14ac:dyDescent="0.25">
      <c r="A133" s="22">
        <v>44829</v>
      </c>
      <c r="B133" s="19" t="str">
        <f>IF(A133&lt;&gt;"",VLOOKUP(MONTH(A133),Apoio!$A$2:$B$13,2,0),"")</f>
        <v>Set</v>
      </c>
      <c r="C133" s="40">
        <f>IF(A133&lt;&gt;"",YEAR(Tabela1[[#This Row],[Data]]),"")</f>
        <v>2022</v>
      </c>
      <c r="D133" s="20">
        <v>30.24</v>
      </c>
      <c r="E133" s="19" t="s">
        <v>11</v>
      </c>
      <c r="F133" s="21" t="s">
        <v>39</v>
      </c>
      <c r="G133" s="21" t="s">
        <v>40</v>
      </c>
      <c r="H133" s="21" t="s">
        <v>14</v>
      </c>
      <c r="I133" s="23" t="s">
        <v>49</v>
      </c>
    </row>
    <row r="134" spans="1:9" ht="15.75" x14ac:dyDescent="0.25">
      <c r="A134" s="22">
        <v>44839</v>
      </c>
      <c r="B134" s="19" t="str">
        <f>IF(A134&lt;&gt;"",VLOOKUP(MONTH(A134),Apoio!$A$2:$B$13,2,0),"")</f>
        <v>Out</v>
      </c>
      <c r="C134" s="40">
        <f>IF(A134&lt;&gt;"",YEAR(Tabela1[[#This Row],[Data]]),"")</f>
        <v>2022</v>
      </c>
      <c r="D134" s="20">
        <v>1447.03</v>
      </c>
      <c r="E134" s="19" t="s">
        <v>11</v>
      </c>
      <c r="F134" s="21" t="s">
        <v>56</v>
      </c>
      <c r="G134" s="21" t="s">
        <v>57</v>
      </c>
      <c r="H134" s="21" t="s">
        <v>14</v>
      </c>
      <c r="I134" s="23" t="s">
        <v>41</v>
      </c>
    </row>
    <row r="135" spans="1:9" ht="15.75" x14ac:dyDescent="0.25">
      <c r="A135" s="22">
        <v>44839</v>
      </c>
      <c r="B135" s="19" t="str">
        <f>IF(A135&lt;&gt;"",VLOOKUP(MONTH(A135),Apoio!$A$2:$B$13,2,0),"")</f>
        <v>Out</v>
      </c>
      <c r="C135" s="40">
        <f>IF(A135&lt;&gt;"",YEAR(Tabela1[[#This Row],[Data]]),"")</f>
        <v>2022</v>
      </c>
      <c r="D135" s="20">
        <v>350</v>
      </c>
      <c r="E135" s="19" t="s">
        <v>11</v>
      </c>
      <c r="F135" s="21" t="s">
        <v>55</v>
      </c>
      <c r="G135" s="21" t="s">
        <v>55</v>
      </c>
      <c r="H135" s="21" t="s">
        <v>14</v>
      </c>
      <c r="I135" s="23" t="s">
        <v>49</v>
      </c>
    </row>
    <row r="136" spans="1:9" ht="15.75" x14ac:dyDescent="0.25">
      <c r="A136" s="22">
        <v>44839</v>
      </c>
      <c r="B136" s="19" t="str">
        <f>IF(A136&lt;&gt;"",VLOOKUP(MONTH(A136),Apoio!$A$2:$B$13,2,0),"")</f>
        <v>Out</v>
      </c>
      <c r="C136" s="40">
        <f>IF(A136&lt;&gt;"",YEAR(Tabela1[[#This Row],[Data]]),"")</f>
        <v>2022</v>
      </c>
      <c r="D136" s="20">
        <v>4134.37</v>
      </c>
      <c r="E136" s="19" t="s">
        <v>52</v>
      </c>
      <c r="F136" s="21" t="s">
        <v>53</v>
      </c>
      <c r="G136" s="21" t="s">
        <v>54</v>
      </c>
      <c r="H136" s="21" t="s">
        <v>14</v>
      </c>
      <c r="I136" s="23" t="s">
        <v>49</v>
      </c>
    </row>
    <row r="137" spans="1:9" ht="15.75" x14ac:dyDescent="0.25">
      <c r="A137" s="22">
        <v>44839</v>
      </c>
      <c r="B137" s="19" t="str">
        <f>IF(A137&lt;&gt;"",VLOOKUP(MONTH(A137),Apoio!$A$2:$B$13,2,0),"")</f>
        <v>Out</v>
      </c>
      <c r="C137" s="40">
        <f>IF(A137&lt;&gt;"",YEAR(Tabela1[[#This Row],[Data]]),"")</f>
        <v>2022</v>
      </c>
      <c r="D137" s="20">
        <v>294.10000000000002</v>
      </c>
      <c r="E137" s="19" t="s">
        <v>11</v>
      </c>
      <c r="F137" s="21" t="s">
        <v>50</v>
      </c>
      <c r="G137" s="21" t="s">
        <v>51</v>
      </c>
      <c r="H137" s="21" t="s">
        <v>14</v>
      </c>
      <c r="I137" s="23" t="s">
        <v>49</v>
      </c>
    </row>
    <row r="138" spans="1:9" ht="15.75" x14ac:dyDescent="0.25">
      <c r="A138" s="22">
        <v>44839</v>
      </c>
      <c r="B138" s="19" t="str">
        <f>IF(A138&lt;&gt;"",VLOOKUP(MONTH(A138),Apoio!$A$2:$B$13,2,0),"")</f>
        <v>Out</v>
      </c>
      <c r="C138" s="40">
        <f>IF(A138&lt;&gt;"",YEAR(Tabela1[[#This Row],[Data]]),"")</f>
        <v>2022</v>
      </c>
      <c r="D138" s="20">
        <v>7.97</v>
      </c>
      <c r="E138" s="19" t="s">
        <v>11</v>
      </c>
      <c r="F138" s="21" t="s">
        <v>47</v>
      </c>
      <c r="G138" s="21" t="s">
        <v>48</v>
      </c>
      <c r="H138" s="21" t="s">
        <v>14</v>
      </c>
      <c r="I138" s="23" t="s">
        <v>49</v>
      </c>
    </row>
    <row r="139" spans="1:9" ht="15.75" x14ac:dyDescent="0.25">
      <c r="A139" s="22">
        <v>44839</v>
      </c>
      <c r="B139" s="19" t="str">
        <f>IF(A139&lt;&gt;"",VLOOKUP(MONTH(A139),Apoio!$A$2:$B$13,2,0),"")</f>
        <v>Out</v>
      </c>
      <c r="C139" s="40">
        <f>IF(A139&lt;&gt;"",YEAR(Tabela1[[#This Row],[Data]]),"")</f>
        <v>2022</v>
      </c>
      <c r="D139" s="20">
        <v>320</v>
      </c>
      <c r="E139" s="19" t="s">
        <v>11</v>
      </c>
      <c r="F139" s="21" t="s">
        <v>12</v>
      </c>
      <c r="G139" s="21" t="s">
        <v>13</v>
      </c>
      <c r="H139" s="21" t="s">
        <v>14</v>
      </c>
      <c r="I139" s="23" t="s">
        <v>49</v>
      </c>
    </row>
    <row r="140" spans="1:9" ht="15.75" x14ac:dyDescent="0.25">
      <c r="A140" s="22">
        <v>44844</v>
      </c>
      <c r="B140" s="19" t="str">
        <f>IF(A140&lt;&gt;"",VLOOKUP(MONTH(A140),Apoio!$A$2:$B$13,2,0),"")</f>
        <v>Out</v>
      </c>
      <c r="C140" s="40">
        <f>IF(A140&lt;&gt;"",YEAR(Tabela1[[#This Row],[Data]]),"")</f>
        <v>2022</v>
      </c>
      <c r="D140" s="20">
        <v>69.900000000000006</v>
      </c>
      <c r="E140" s="19" t="s">
        <v>11</v>
      </c>
      <c r="F140" s="21" t="s">
        <v>58</v>
      </c>
      <c r="G140" s="21" t="s">
        <v>59</v>
      </c>
      <c r="H140" s="21" t="s">
        <v>14</v>
      </c>
      <c r="I140" s="23" t="s">
        <v>49</v>
      </c>
    </row>
    <row r="141" spans="1:9" ht="15.75" x14ac:dyDescent="0.25">
      <c r="A141" s="22">
        <v>44844</v>
      </c>
      <c r="B141" s="19" t="str">
        <f>IF(A141&lt;&gt;"",VLOOKUP(MONTH(A141),Apoio!$A$2:$B$13,2,0),"")</f>
        <v>Out</v>
      </c>
      <c r="C141" s="40">
        <f>IF(A141&lt;&gt;"",YEAR(Tabela1[[#This Row],[Data]]),"")</f>
        <v>2022</v>
      </c>
      <c r="D141" s="20">
        <v>650.49</v>
      </c>
      <c r="E141" s="19" t="s">
        <v>11</v>
      </c>
      <c r="F141" s="21" t="s">
        <v>16</v>
      </c>
      <c r="G141" s="21" t="s">
        <v>19</v>
      </c>
      <c r="H141" s="21" t="s">
        <v>14</v>
      </c>
      <c r="I141" s="23" t="s">
        <v>49</v>
      </c>
    </row>
    <row r="142" spans="1:9" ht="15.75" x14ac:dyDescent="0.25">
      <c r="A142" s="22">
        <v>44844</v>
      </c>
      <c r="B142" s="19" t="str">
        <f>IF(A142&lt;&gt;"",VLOOKUP(MONTH(A142),Apoio!$A$2:$B$13,2,0),"")</f>
        <v>Out</v>
      </c>
      <c r="C142" s="40">
        <f>IF(A142&lt;&gt;"",YEAR(Tabela1[[#This Row],[Data]]),"")</f>
        <v>2022</v>
      </c>
      <c r="D142" s="20">
        <v>520.24</v>
      </c>
      <c r="E142" s="19" t="s">
        <v>11</v>
      </c>
      <c r="F142" s="21" t="s">
        <v>16</v>
      </c>
      <c r="G142" s="21" t="s">
        <v>18</v>
      </c>
      <c r="H142" s="21" t="s">
        <v>14</v>
      </c>
      <c r="I142" s="23" t="s">
        <v>49</v>
      </c>
    </row>
    <row r="143" spans="1:9" ht="15.75" x14ac:dyDescent="0.25">
      <c r="A143" s="22">
        <v>44844</v>
      </c>
      <c r="B143" s="19" t="str">
        <f>IF(A143&lt;&gt;"",VLOOKUP(MONTH(A143),Apoio!$A$2:$B$13,2,0),"")</f>
        <v>Out</v>
      </c>
      <c r="C143" s="40">
        <f>IF(A143&lt;&gt;"",YEAR(Tabela1[[#This Row],[Data]]),"")</f>
        <v>2022</v>
      </c>
      <c r="D143" s="20">
        <v>25.83</v>
      </c>
      <c r="E143" s="19" t="s">
        <v>11</v>
      </c>
      <c r="F143" s="21" t="s">
        <v>16</v>
      </c>
      <c r="G143" s="21" t="s">
        <v>17</v>
      </c>
      <c r="H143" s="21" t="s">
        <v>14</v>
      </c>
      <c r="I143" s="23" t="s">
        <v>49</v>
      </c>
    </row>
    <row r="144" spans="1:9" ht="15.75" x14ac:dyDescent="0.25">
      <c r="A144" s="22">
        <v>44849</v>
      </c>
      <c r="B144" s="19" t="str">
        <f>IF(A144&lt;&gt;"",VLOOKUP(MONTH(A144),Apoio!$A$2:$B$13,2,0),"")</f>
        <v>Out</v>
      </c>
      <c r="C144" s="40">
        <f>IF(A144&lt;&gt;"",YEAR(Tabela1[[#This Row],[Data]]),"")</f>
        <v>2022</v>
      </c>
      <c r="D144" s="20">
        <v>99</v>
      </c>
      <c r="E144" s="19" t="s">
        <v>11</v>
      </c>
      <c r="F144" s="21" t="s">
        <v>58</v>
      </c>
      <c r="G144" s="21" t="s">
        <v>61</v>
      </c>
      <c r="H144" s="21" t="s">
        <v>14</v>
      </c>
      <c r="I144" s="23" t="s">
        <v>49</v>
      </c>
    </row>
    <row r="145" spans="1:9" ht="15.75" x14ac:dyDescent="0.25">
      <c r="A145" s="22">
        <v>44849</v>
      </c>
      <c r="B145" s="19" t="str">
        <f>IF(A145&lt;&gt;"",VLOOKUP(MONTH(A145),Apoio!$A$2:$B$13,2,0),"")</f>
        <v>Out</v>
      </c>
      <c r="C145" s="40">
        <f>IF(A145&lt;&gt;"",YEAR(Tabela1[[#This Row],[Data]]),"")</f>
        <v>2022</v>
      </c>
      <c r="D145" s="20">
        <v>14.9</v>
      </c>
      <c r="E145" s="19" t="s">
        <v>11</v>
      </c>
      <c r="F145" s="21" t="s">
        <v>26</v>
      </c>
      <c r="G145" s="21" t="s">
        <v>60</v>
      </c>
      <c r="H145" s="21" t="s">
        <v>14</v>
      </c>
      <c r="I145" s="23" t="s">
        <v>49</v>
      </c>
    </row>
    <row r="146" spans="1:9" ht="15.75" x14ac:dyDescent="0.25">
      <c r="A146" s="22">
        <v>44854</v>
      </c>
      <c r="B146" s="19" t="str">
        <f>IF(A146&lt;&gt;"",VLOOKUP(MONTH(A146),Apoio!$A$2:$B$13,2,0),"")</f>
        <v>Out</v>
      </c>
      <c r="C146" s="40">
        <f>IF(A146&lt;&gt;"",YEAR(Tabela1[[#This Row],[Data]]),"")</f>
        <v>2022</v>
      </c>
      <c r="D146" s="20">
        <v>4633.79</v>
      </c>
      <c r="E146" s="19" t="s">
        <v>52</v>
      </c>
      <c r="F146" s="21" t="s">
        <v>53</v>
      </c>
      <c r="G146" s="21" t="s">
        <v>63</v>
      </c>
      <c r="H146" s="21" t="s">
        <v>14</v>
      </c>
      <c r="I146" s="23" t="s">
        <v>49</v>
      </c>
    </row>
    <row r="147" spans="1:9" ht="15.75" x14ac:dyDescent="0.25">
      <c r="A147" s="22">
        <v>44854</v>
      </c>
      <c r="B147" s="19" t="str">
        <f>IF(A147&lt;&gt;"",VLOOKUP(MONTH(A147),Apoio!$A$2:$B$13,2,0),"")</f>
        <v>Out</v>
      </c>
      <c r="C147" s="40">
        <f>IF(A147&lt;&gt;"",YEAR(Tabela1[[#This Row],[Data]]),"")</f>
        <v>2022</v>
      </c>
      <c r="D147" s="20">
        <v>363.82</v>
      </c>
      <c r="E147" s="19" t="s">
        <v>11</v>
      </c>
      <c r="F147" s="21" t="s">
        <v>50</v>
      </c>
      <c r="G147" s="21" t="s">
        <v>62</v>
      </c>
      <c r="H147" s="21" t="s">
        <v>14</v>
      </c>
      <c r="I147" s="23" t="s">
        <v>49</v>
      </c>
    </row>
    <row r="148" spans="1:9" ht="15.75" x14ac:dyDescent="0.25">
      <c r="A148" s="22">
        <v>44855</v>
      </c>
      <c r="B148" s="19" t="str">
        <f>IF(A148&lt;&gt;"",VLOOKUP(MONTH(A148),Apoio!$A$2:$B$13,2,0),"")</f>
        <v>Out</v>
      </c>
      <c r="C148" s="40">
        <f>IF(A148&lt;&gt;"",YEAR(Tabela1[[#This Row],[Data]]),"")</f>
        <v>2022</v>
      </c>
      <c r="D148" s="20">
        <v>95.14</v>
      </c>
      <c r="E148" s="19" t="s">
        <v>11</v>
      </c>
      <c r="F148" s="21" t="s">
        <v>42</v>
      </c>
      <c r="G148" s="21" t="s">
        <v>44</v>
      </c>
      <c r="H148" s="21" t="s">
        <v>14</v>
      </c>
      <c r="I148" s="23" t="s">
        <v>49</v>
      </c>
    </row>
    <row r="149" spans="1:9" ht="15.75" x14ac:dyDescent="0.25">
      <c r="A149" s="22">
        <v>44855</v>
      </c>
      <c r="B149" s="19" t="str">
        <f>IF(A149&lt;&gt;"",VLOOKUP(MONTH(A149),Apoio!$A$2:$B$13,2,0),"")</f>
        <v>Out</v>
      </c>
      <c r="C149" s="40">
        <f>IF(A149&lt;&gt;"",YEAR(Tabela1[[#This Row],[Data]]),"")</f>
        <v>2022</v>
      </c>
      <c r="D149" s="20">
        <v>206.52</v>
      </c>
      <c r="E149" s="19" t="s">
        <v>11</v>
      </c>
      <c r="F149" s="21" t="s">
        <v>42</v>
      </c>
      <c r="G149" s="21" t="s">
        <v>43</v>
      </c>
      <c r="H149" s="21" t="s">
        <v>14</v>
      </c>
      <c r="I149" s="23" t="s">
        <v>49</v>
      </c>
    </row>
    <row r="150" spans="1:9" ht="15.75" x14ac:dyDescent="0.25">
      <c r="A150" s="22">
        <v>44856</v>
      </c>
      <c r="B150" s="19" t="str">
        <f>IF(A150&lt;&gt;"",VLOOKUP(MONTH(A150),Apoio!$A$2:$B$13,2,0),"")</f>
        <v>Out</v>
      </c>
      <c r="C150" s="40">
        <f>IF(A150&lt;&gt;"",YEAR(Tabela1[[#This Row],[Data]]),"")</f>
        <v>2022</v>
      </c>
      <c r="D150" s="20">
        <v>80</v>
      </c>
      <c r="E150" s="19" t="s">
        <v>11</v>
      </c>
      <c r="F150" s="21" t="s">
        <v>39</v>
      </c>
      <c r="G150" s="21" t="s">
        <v>46</v>
      </c>
      <c r="H150" s="21" t="s">
        <v>14</v>
      </c>
      <c r="I150" s="23" t="s">
        <v>49</v>
      </c>
    </row>
    <row r="151" spans="1:9" ht="15.75" x14ac:dyDescent="0.25">
      <c r="A151" s="22">
        <v>44857</v>
      </c>
      <c r="B151" s="19" t="str">
        <f>IF(A151&lt;&gt;"",VLOOKUP(MONTH(A151),Apoio!$A$2:$B$13,2,0),"")</f>
        <v>Out</v>
      </c>
      <c r="C151" s="40">
        <f>IF(A151&lt;&gt;"",YEAR(Tabela1[[#This Row],[Data]]),"")</f>
        <v>2022</v>
      </c>
      <c r="D151" s="20">
        <v>100</v>
      </c>
      <c r="E151" s="19" t="s">
        <v>11</v>
      </c>
      <c r="F151" s="21" t="s">
        <v>37</v>
      </c>
      <c r="G151" s="21" t="s">
        <v>38</v>
      </c>
      <c r="H151" s="21" t="s">
        <v>36</v>
      </c>
      <c r="I151" s="23" t="s">
        <v>49</v>
      </c>
    </row>
    <row r="152" spans="1:9" ht="15.75" x14ac:dyDescent="0.25">
      <c r="A152" s="22">
        <v>44857</v>
      </c>
      <c r="B152" s="19" t="str">
        <f>IF(A152&lt;&gt;"",VLOOKUP(MONTH(A152),Apoio!$A$2:$B$13,2,0),"")</f>
        <v>Out</v>
      </c>
      <c r="C152" s="40">
        <f>IF(A152&lt;&gt;"",YEAR(Tabela1[[#This Row],[Data]]),"")</f>
        <v>2022</v>
      </c>
      <c r="D152" s="20">
        <v>9.9</v>
      </c>
      <c r="E152" s="19" t="s">
        <v>11</v>
      </c>
      <c r="F152" s="21" t="s">
        <v>28</v>
      </c>
      <c r="G152" s="21" t="s">
        <v>30</v>
      </c>
      <c r="H152" s="21" t="s">
        <v>25</v>
      </c>
      <c r="I152" s="23" t="s">
        <v>41</v>
      </c>
    </row>
    <row r="153" spans="1:9" ht="15.75" x14ac:dyDescent="0.25">
      <c r="A153" s="22">
        <v>44857</v>
      </c>
      <c r="B153" s="19" t="str">
        <f>IF(A153&lt;&gt;"",VLOOKUP(MONTH(A153),Apoio!$A$2:$B$13,2,0),"")</f>
        <v>Out</v>
      </c>
      <c r="C153" s="40">
        <f>IF(A153&lt;&gt;"",YEAR(Tabela1[[#This Row],[Data]]),"")</f>
        <v>2022</v>
      </c>
      <c r="D153" s="20">
        <v>8.9</v>
      </c>
      <c r="E153" s="19" t="s">
        <v>11</v>
      </c>
      <c r="F153" s="21" t="s">
        <v>28</v>
      </c>
      <c r="G153" s="21" t="s">
        <v>29</v>
      </c>
      <c r="H153" s="21" t="s">
        <v>25</v>
      </c>
      <c r="I153" s="23" t="s">
        <v>41</v>
      </c>
    </row>
    <row r="154" spans="1:9" ht="15.75" x14ac:dyDescent="0.25">
      <c r="A154" s="22">
        <v>44859</v>
      </c>
      <c r="B154" s="19" t="str">
        <f>IF(A154&lt;&gt;"",VLOOKUP(MONTH(A154),Apoio!$A$2:$B$13,2,0),"")</f>
        <v>Out</v>
      </c>
      <c r="C154" s="40">
        <f>IF(A154&lt;&gt;"",YEAR(Tabela1[[#This Row],[Data]]),"")</f>
        <v>2022</v>
      </c>
      <c r="D154" s="20">
        <v>30.24</v>
      </c>
      <c r="E154" s="19" t="s">
        <v>11</v>
      </c>
      <c r="F154" s="21" t="s">
        <v>39</v>
      </c>
      <c r="G154" s="21" t="s">
        <v>40</v>
      </c>
      <c r="H154" s="21" t="s">
        <v>14</v>
      </c>
      <c r="I154" s="23" t="s">
        <v>49</v>
      </c>
    </row>
    <row r="155" spans="1:9" ht="15.75" x14ac:dyDescent="0.25">
      <c r="A155" s="22">
        <v>44870</v>
      </c>
      <c r="B155" s="19" t="str">
        <f>IF(A155&lt;&gt;"",VLOOKUP(MONTH(A155),Apoio!$A$2:$B$13,2,0),"")</f>
        <v>Nov</v>
      </c>
      <c r="C155" s="40">
        <f>IF(A155&lt;&gt;"",YEAR(Tabela1[[#This Row],[Data]]),"")</f>
        <v>2022</v>
      </c>
      <c r="D155" s="20">
        <v>1447.03</v>
      </c>
      <c r="E155" s="19" t="s">
        <v>11</v>
      </c>
      <c r="F155" s="21" t="s">
        <v>56</v>
      </c>
      <c r="G155" s="21" t="s">
        <v>57</v>
      </c>
      <c r="H155" s="21" t="s">
        <v>14</v>
      </c>
      <c r="I155" s="23" t="s">
        <v>41</v>
      </c>
    </row>
    <row r="156" spans="1:9" ht="15.75" x14ac:dyDescent="0.25">
      <c r="A156" s="22">
        <v>44870</v>
      </c>
      <c r="B156" s="19" t="str">
        <f>IF(A156&lt;&gt;"",VLOOKUP(MONTH(A156),Apoio!$A$2:$B$13,2,0),"")</f>
        <v>Nov</v>
      </c>
      <c r="C156" s="40">
        <f>IF(A156&lt;&gt;"",YEAR(Tabela1[[#This Row],[Data]]),"")</f>
        <v>2022</v>
      </c>
      <c r="D156" s="20">
        <v>350</v>
      </c>
      <c r="E156" s="19" t="s">
        <v>11</v>
      </c>
      <c r="F156" s="21" t="s">
        <v>55</v>
      </c>
      <c r="G156" s="21" t="s">
        <v>55</v>
      </c>
      <c r="H156" s="21" t="s">
        <v>14</v>
      </c>
      <c r="I156" s="23" t="s">
        <v>49</v>
      </c>
    </row>
    <row r="157" spans="1:9" ht="15.75" x14ac:dyDescent="0.25">
      <c r="A157" s="22">
        <v>44870</v>
      </c>
      <c r="B157" s="19" t="str">
        <f>IF(A157&lt;&gt;"",VLOOKUP(MONTH(A157),Apoio!$A$2:$B$13,2,0),"")</f>
        <v>Nov</v>
      </c>
      <c r="C157" s="40">
        <f>IF(A157&lt;&gt;"",YEAR(Tabela1[[#This Row],[Data]]),"")</f>
        <v>2022</v>
      </c>
      <c r="D157" s="20">
        <v>4134.37</v>
      </c>
      <c r="E157" s="19" t="s">
        <v>52</v>
      </c>
      <c r="F157" s="21" t="s">
        <v>53</v>
      </c>
      <c r="G157" s="21" t="s">
        <v>54</v>
      </c>
      <c r="H157" s="21" t="s">
        <v>14</v>
      </c>
      <c r="I157" s="23" t="s">
        <v>49</v>
      </c>
    </row>
    <row r="158" spans="1:9" ht="15.75" x14ac:dyDescent="0.25">
      <c r="A158" s="22">
        <v>44870</v>
      </c>
      <c r="B158" s="19" t="str">
        <f>IF(A158&lt;&gt;"",VLOOKUP(MONTH(A158),Apoio!$A$2:$B$13,2,0),"")</f>
        <v>Nov</v>
      </c>
      <c r="C158" s="40">
        <f>IF(A158&lt;&gt;"",YEAR(Tabela1[[#This Row],[Data]]),"")</f>
        <v>2022</v>
      </c>
      <c r="D158" s="20">
        <v>294.10000000000002</v>
      </c>
      <c r="E158" s="19" t="s">
        <v>11</v>
      </c>
      <c r="F158" s="21" t="s">
        <v>50</v>
      </c>
      <c r="G158" s="21" t="s">
        <v>51</v>
      </c>
      <c r="H158" s="21" t="s">
        <v>14</v>
      </c>
      <c r="I158" s="23" t="s">
        <v>49</v>
      </c>
    </row>
    <row r="159" spans="1:9" ht="15.75" x14ac:dyDescent="0.25">
      <c r="A159" s="22">
        <v>44870</v>
      </c>
      <c r="B159" s="19" t="str">
        <f>IF(A159&lt;&gt;"",VLOOKUP(MONTH(A159),Apoio!$A$2:$B$13,2,0),"")</f>
        <v>Nov</v>
      </c>
      <c r="C159" s="40">
        <f>IF(A159&lt;&gt;"",YEAR(Tabela1[[#This Row],[Data]]),"")</f>
        <v>2022</v>
      </c>
      <c r="D159" s="20">
        <v>7.97</v>
      </c>
      <c r="E159" s="19" t="s">
        <v>11</v>
      </c>
      <c r="F159" s="21" t="s">
        <v>47</v>
      </c>
      <c r="G159" s="21" t="s">
        <v>48</v>
      </c>
      <c r="H159" s="21" t="s">
        <v>14</v>
      </c>
      <c r="I159" s="23" t="s">
        <v>49</v>
      </c>
    </row>
    <row r="160" spans="1:9" ht="15.75" x14ac:dyDescent="0.25">
      <c r="A160" s="22">
        <v>44870</v>
      </c>
      <c r="B160" s="19" t="str">
        <f>IF(A160&lt;&gt;"",VLOOKUP(MONTH(A160),Apoio!$A$2:$B$13,2,0),"")</f>
        <v>Nov</v>
      </c>
      <c r="C160" s="40">
        <f>IF(A160&lt;&gt;"",YEAR(Tabela1[[#This Row],[Data]]),"")</f>
        <v>2022</v>
      </c>
      <c r="D160" s="20">
        <v>320</v>
      </c>
      <c r="E160" s="19" t="s">
        <v>11</v>
      </c>
      <c r="F160" s="21" t="s">
        <v>12</v>
      </c>
      <c r="G160" s="21" t="s">
        <v>13</v>
      </c>
      <c r="H160" s="21" t="s">
        <v>14</v>
      </c>
      <c r="I160" s="23" t="s">
        <v>49</v>
      </c>
    </row>
    <row r="161" spans="1:9" ht="15.75" x14ac:dyDescent="0.25">
      <c r="A161" s="22">
        <v>44875</v>
      </c>
      <c r="B161" s="19" t="str">
        <f>IF(A161&lt;&gt;"",VLOOKUP(MONTH(A161),Apoio!$A$2:$B$13,2,0),"")</f>
        <v>Nov</v>
      </c>
      <c r="C161" s="40">
        <f>IF(A161&lt;&gt;"",YEAR(Tabela1[[#This Row],[Data]]),"")</f>
        <v>2022</v>
      </c>
      <c r="D161" s="20">
        <v>69.900000000000006</v>
      </c>
      <c r="E161" s="19" t="s">
        <v>11</v>
      </c>
      <c r="F161" s="21" t="s">
        <v>58</v>
      </c>
      <c r="G161" s="21" t="s">
        <v>59</v>
      </c>
      <c r="H161" s="21" t="s">
        <v>14</v>
      </c>
      <c r="I161" s="23" t="s">
        <v>49</v>
      </c>
    </row>
    <row r="162" spans="1:9" ht="15.75" x14ac:dyDescent="0.25">
      <c r="A162" s="22">
        <v>44875</v>
      </c>
      <c r="B162" s="19" t="str">
        <f>IF(A162&lt;&gt;"",VLOOKUP(MONTH(A162),Apoio!$A$2:$B$13,2,0),"")</f>
        <v>Nov</v>
      </c>
      <c r="C162" s="40">
        <f>IF(A162&lt;&gt;"",YEAR(Tabela1[[#This Row],[Data]]),"")</f>
        <v>2022</v>
      </c>
      <c r="D162" s="20">
        <v>650.49</v>
      </c>
      <c r="E162" s="19" t="s">
        <v>11</v>
      </c>
      <c r="F162" s="21" t="s">
        <v>16</v>
      </c>
      <c r="G162" s="21" t="s">
        <v>19</v>
      </c>
      <c r="H162" s="21" t="s">
        <v>14</v>
      </c>
      <c r="I162" s="23" t="s">
        <v>49</v>
      </c>
    </row>
    <row r="163" spans="1:9" ht="15.75" x14ac:dyDescent="0.25">
      <c r="A163" s="22">
        <v>44875</v>
      </c>
      <c r="B163" s="19" t="str">
        <f>IF(A163&lt;&gt;"",VLOOKUP(MONTH(A163),Apoio!$A$2:$B$13,2,0),"")</f>
        <v>Nov</v>
      </c>
      <c r="C163" s="40">
        <f>IF(A163&lt;&gt;"",YEAR(Tabela1[[#This Row],[Data]]),"")</f>
        <v>2022</v>
      </c>
      <c r="D163" s="20">
        <v>520.24</v>
      </c>
      <c r="E163" s="19" t="s">
        <v>11</v>
      </c>
      <c r="F163" s="21" t="s">
        <v>16</v>
      </c>
      <c r="G163" s="21" t="s">
        <v>18</v>
      </c>
      <c r="H163" s="21" t="s">
        <v>14</v>
      </c>
      <c r="I163" s="23" t="s">
        <v>49</v>
      </c>
    </row>
    <row r="164" spans="1:9" ht="15.75" x14ac:dyDescent="0.25">
      <c r="A164" s="22">
        <v>44875</v>
      </c>
      <c r="B164" s="19" t="str">
        <f>IF(A164&lt;&gt;"",VLOOKUP(MONTH(A164),Apoio!$A$2:$B$13,2,0),"")</f>
        <v>Nov</v>
      </c>
      <c r="C164" s="40">
        <f>IF(A164&lt;&gt;"",YEAR(Tabela1[[#This Row],[Data]]),"")</f>
        <v>2022</v>
      </c>
      <c r="D164" s="20">
        <v>25.83</v>
      </c>
      <c r="E164" s="19" t="s">
        <v>11</v>
      </c>
      <c r="F164" s="21" t="s">
        <v>16</v>
      </c>
      <c r="G164" s="21" t="s">
        <v>17</v>
      </c>
      <c r="H164" s="21" t="s">
        <v>14</v>
      </c>
      <c r="I164" s="23" t="s">
        <v>49</v>
      </c>
    </row>
    <row r="165" spans="1:9" ht="15.75" x14ac:dyDescent="0.25">
      <c r="A165" s="22">
        <v>44880</v>
      </c>
      <c r="B165" s="19" t="str">
        <f>IF(A165&lt;&gt;"",VLOOKUP(MONTH(A165),Apoio!$A$2:$B$13,2,0),"")</f>
        <v>Nov</v>
      </c>
      <c r="C165" s="40">
        <f>IF(A165&lt;&gt;"",YEAR(Tabela1[[#This Row],[Data]]),"")</f>
        <v>2022</v>
      </c>
      <c r="D165" s="20">
        <v>99</v>
      </c>
      <c r="E165" s="19" t="s">
        <v>11</v>
      </c>
      <c r="F165" s="21" t="s">
        <v>58</v>
      </c>
      <c r="G165" s="21" t="s">
        <v>61</v>
      </c>
      <c r="H165" s="21" t="s">
        <v>14</v>
      </c>
      <c r="I165" s="23" t="s">
        <v>49</v>
      </c>
    </row>
    <row r="166" spans="1:9" ht="15.75" x14ac:dyDescent="0.25">
      <c r="A166" s="22">
        <v>44880</v>
      </c>
      <c r="B166" s="19" t="str">
        <f>IF(A166&lt;&gt;"",VLOOKUP(MONTH(A166),Apoio!$A$2:$B$13,2,0),"")</f>
        <v>Nov</v>
      </c>
      <c r="C166" s="40">
        <f>IF(A166&lt;&gt;"",YEAR(Tabela1[[#This Row],[Data]]),"")</f>
        <v>2022</v>
      </c>
      <c r="D166" s="20">
        <v>14.9</v>
      </c>
      <c r="E166" s="19" t="s">
        <v>11</v>
      </c>
      <c r="F166" s="21" t="s">
        <v>26</v>
      </c>
      <c r="G166" s="21" t="s">
        <v>60</v>
      </c>
      <c r="H166" s="21" t="s">
        <v>14</v>
      </c>
      <c r="I166" s="23" t="s">
        <v>49</v>
      </c>
    </row>
    <row r="167" spans="1:9" ht="15.75" x14ac:dyDescent="0.25">
      <c r="A167" s="22">
        <v>44885</v>
      </c>
      <c r="B167" s="19" t="str">
        <f>IF(A167&lt;&gt;"",VLOOKUP(MONTH(A167),Apoio!$A$2:$B$13,2,0),"")</f>
        <v>Nov</v>
      </c>
      <c r="C167" s="40">
        <f>IF(A167&lt;&gt;"",YEAR(Tabela1[[#This Row],[Data]]),"")</f>
        <v>2022</v>
      </c>
      <c r="D167" s="20">
        <v>4633.79</v>
      </c>
      <c r="E167" s="19" t="s">
        <v>52</v>
      </c>
      <c r="F167" s="21" t="s">
        <v>53</v>
      </c>
      <c r="G167" s="21" t="s">
        <v>63</v>
      </c>
      <c r="H167" s="21" t="s">
        <v>14</v>
      </c>
      <c r="I167" s="23" t="s">
        <v>49</v>
      </c>
    </row>
    <row r="168" spans="1:9" ht="15.75" x14ac:dyDescent="0.25">
      <c r="A168" s="22">
        <v>44885</v>
      </c>
      <c r="B168" s="19" t="str">
        <f>IF(A168&lt;&gt;"",VLOOKUP(MONTH(A168),Apoio!$A$2:$B$13,2,0),"")</f>
        <v>Nov</v>
      </c>
      <c r="C168" s="40">
        <f>IF(A168&lt;&gt;"",YEAR(Tabela1[[#This Row],[Data]]),"")</f>
        <v>2022</v>
      </c>
      <c r="D168" s="20">
        <v>363.82</v>
      </c>
      <c r="E168" s="19" t="s">
        <v>11</v>
      </c>
      <c r="F168" s="21" t="s">
        <v>50</v>
      </c>
      <c r="G168" s="21" t="s">
        <v>62</v>
      </c>
      <c r="H168" s="21" t="s">
        <v>14</v>
      </c>
      <c r="I168" s="23" t="s">
        <v>49</v>
      </c>
    </row>
    <row r="169" spans="1:9" ht="15.75" x14ac:dyDescent="0.25">
      <c r="A169" s="22">
        <v>44886</v>
      </c>
      <c r="B169" s="19" t="str">
        <f>IF(A169&lt;&gt;"",VLOOKUP(MONTH(A169),Apoio!$A$2:$B$13,2,0),"")</f>
        <v>Nov</v>
      </c>
      <c r="C169" s="40">
        <f>IF(A169&lt;&gt;"",YEAR(Tabela1[[#This Row],[Data]]),"")</f>
        <v>2022</v>
      </c>
      <c r="D169" s="20">
        <v>95.14</v>
      </c>
      <c r="E169" s="19" t="s">
        <v>11</v>
      </c>
      <c r="F169" s="21" t="s">
        <v>42</v>
      </c>
      <c r="G169" s="21" t="s">
        <v>44</v>
      </c>
      <c r="H169" s="21" t="s">
        <v>14</v>
      </c>
      <c r="I169" s="23" t="s">
        <v>49</v>
      </c>
    </row>
    <row r="170" spans="1:9" ht="15.75" x14ac:dyDescent="0.25">
      <c r="A170" s="22">
        <v>44886</v>
      </c>
      <c r="B170" s="19" t="str">
        <f>IF(A170&lt;&gt;"",VLOOKUP(MONTH(A170),Apoio!$A$2:$B$13,2,0),"")</f>
        <v>Nov</v>
      </c>
      <c r="C170" s="40">
        <f>IF(A170&lt;&gt;"",YEAR(Tabela1[[#This Row],[Data]]),"")</f>
        <v>2022</v>
      </c>
      <c r="D170" s="20">
        <v>206.52</v>
      </c>
      <c r="E170" s="19" t="s">
        <v>11</v>
      </c>
      <c r="F170" s="21" t="s">
        <v>42</v>
      </c>
      <c r="G170" s="21" t="s">
        <v>43</v>
      </c>
      <c r="H170" s="21" t="s">
        <v>14</v>
      </c>
      <c r="I170" s="23" t="s">
        <v>49</v>
      </c>
    </row>
    <row r="171" spans="1:9" ht="15.75" x14ac:dyDescent="0.25">
      <c r="A171" s="22">
        <v>44887</v>
      </c>
      <c r="B171" s="19" t="str">
        <f>IF(A171&lt;&gt;"",VLOOKUP(MONTH(A171),Apoio!$A$2:$B$13,2,0),"")</f>
        <v>Nov</v>
      </c>
      <c r="C171" s="40">
        <f>IF(A171&lt;&gt;"",YEAR(Tabela1[[#This Row],[Data]]),"")</f>
        <v>2022</v>
      </c>
      <c r="D171" s="20">
        <v>80</v>
      </c>
      <c r="E171" s="19" t="s">
        <v>11</v>
      </c>
      <c r="F171" s="21" t="s">
        <v>39</v>
      </c>
      <c r="G171" s="21" t="s">
        <v>46</v>
      </c>
      <c r="H171" s="21" t="s">
        <v>14</v>
      </c>
      <c r="I171" s="23" t="s">
        <v>49</v>
      </c>
    </row>
    <row r="172" spans="1:9" ht="15.75" x14ac:dyDescent="0.25">
      <c r="A172" s="22">
        <v>44888</v>
      </c>
      <c r="B172" s="19" t="str">
        <f>IF(A172&lt;&gt;"",VLOOKUP(MONTH(A172),Apoio!$A$2:$B$13,2,0),"")</f>
        <v>Nov</v>
      </c>
      <c r="C172" s="40">
        <f>IF(A172&lt;&gt;"",YEAR(Tabela1[[#This Row],[Data]]),"")</f>
        <v>2022</v>
      </c>
      <c r="D172" s="20">
        <v>100</v>
      </c>
      <c r="E172" s="19" t="s">
        <v>11</v>
      </c>
      <c r="F172" s="21" t="s">
        <v>37</v>
      </c>
      <c r="G172" s="21" t="s">
        <v>38</v>
      </c>
      <c r="H172" s="21" t="s">
        <v>36</v>
      </c>
      <c r="I172" s="23" t="s">
        <v>49</v>
      </c>
    </row>
    <row r="173" spans="1:9" ht="15.75" x14ac:dyDescent="0.25">
      <c r="A173" s="22">
        <v>44888</v>
      </c>
      <c r="B173" s="19" t="str">
        <f>IF(A173&lt;&gt;"",VLOOKUP(MONTH(A173),Apoio!$A$2:$B$13,2,0),"")</f>
        <v>Nov</v>
      </c>
      <c r="C173" s="40">
        <f>IF(A173&lt;&gt;"",YEAR(Tabela1[[#This Row],[Data]]),"")</f>
        <v>2022</v>
      </c>
      <c r="D173" s="20">
        <v>9.9</v>
      </c>
      <c r="E173" s="19" t="s">
        <v>11</v>
      </c>
      <c r="F173" s="21" t="s">
        <v>28</v>
      </c>
      <c r="G173" s="21" t="s">
        <v>30</v>
      </c>
      <c r="H173" s="21" t="s">
        <v>25</v>
      </c>
      <c r="I173" s="23" t="s">
        <v>41</v>
      </c>
    </row>
    <row r="174" spans="1:9" ht="15.75" x14ac:dyDescent="0.25">
      <c r="A174" s="22">
        <v>44888</v>
      </c>
      <c r="B174" s="19" t="str">
        <f>IF(A174&lt;&gt;"",VLOOKUP(MONTH(A174),Apoio!$A$2:$B$13,2,0),"")</f>
        <v>Nov</v>
      </c>
      <c r="C174" s="40">
        <f>IF(A174&lt;&gt;"",YEAR(Tabela1[[#This Row],[Data]]),"")</f>
        <v>2022</v>
      </c>
      <c r="D174" s="20">
        <v>8.9</v>
      </c>
      <c r="E174" s="19" t="s">
        <v>11</v>
      </c>
      <c r="F174" s="21" t="s">
        <v>28</v>
      </c>
      <c r="G174" s="21" t="s">
        <v>29</v>
      </c>
      <c r="H174" s="21" t="s">
        <v>25</v>
      </c>
      <c r="I174" s="23" t="s">
        <v>41</v>
      </c>
    </row>
    <row r="175" spans="1:9" ht="15.75" x14ac:dyDescent="0.25">
      <c r="A175" s="22">
        <v>44890</v>
      </c>
      <c r="B175" s="19" t="str">
        <f>IF(A175&lt;&gt;"",VLOOKUP(MONTH(A175),Apoio!$A$2:$B$13,2,0),"")</f>
        <v>Nov</v>
      </c>
      <c r="C175" s="40">
        <f>IF(A175&lt;&gt;"",YEAR(Tabela1[[#This Row],[Data]]),"")</f>
        <v>2022</v>
      </c>
      <c r="D175" s="20">
        <v>30.24</v>
      </c>
      <c r="E175" s="19" t="s">
        <v>11</v>
      </c>
      <c r="F175" s="21" t="s">
        <v>39</v>
      </c>
      <c r="G175" s="21" t="s">
        <v>40</v>
      </c>
      <c r="H175" s="21" t="s">
        <v>14</v>
      </c>
      <c r="I175" s="23" t="s">
        <v>49</v>
      </c>
    </row>
    <row r="176" spans="1:9" ht="15.75" x14ac:dyDescent="0.25">
      <c r="A176" s="22">
        <v>44900</v>
      </c>
      <c r="B176" s="19" t="str">
        <f>IF(A176&lt;&gt;"",VLOOKUP(MONTH(A176),Apoio!$A$2:$B$13,2,0),"")</f>
        <v>Dez</v>
      </c>
      <c r="C176" s="40">
        <f>IF(A176&lt;&gt;"",YEAR(Tabela1[[#This Row],[Data]]),"")</f>
        <v>2022</v>
      </c>
      <c r="D176" s="20">
        <v>320</v>
      </c>
      <c r="E176" s="19" t="s">
        <v>11</v>
      </c>
      <c r="F176" s="21" t="s">
        <v>12</v>
      </c>
      <c r="G176" s="21" t="s">
        <v>13</v>
      </c>
      <c r="H176" s="21" t="s">
        <v>14</v>
      </c>
      <c r="I176" s="23" t="s">
        <v>49</v>
      </c>
    </row>
    <row r="177" spans="1:9" ht="15.75" x14ac:dyDescent="0.25">
      <c r="A177" s="22">
        <v>44900</v>
      </c>
      <c r="B177" s="19" t="str">
        <f>IF(A177&lt;&gt;"",VLOOKUP(MONTH(A177),Apoio!$A$2:$B$13,2,0),"")</f>
        <v>Dez</v>
      </c>
      <c r="C177" s="40">
        <f>IF(A177&lt;&gt;"",YEAR(Tabela1[[#This Row],[Data]]),"")</f>
        <v>2022</v>
      </c>
      <c r="D177" s="20">
        <v>7.97</v>
      </c>
      <c r="E177" s="19" t="s">
        <v>11</v>
      </c>
      <c r="F177" s="21" t="s">
        <v>47</v>
      </c>
      <c r="G177" s="21" t="s">
        <v>48</v>
      </c>
      <c r="H177" s="21" t="s">
        <v>14</v>
      </c>
      <c r="I177" s="23" t="s">
        <v>49</v>
      </c>
    </row>
    <row r="178" spans="1:9" ht="15.75" x14ac:dyDescent="0.25">
      <c r="A178" s="22">
        <v>44900</v>
      </c>
      <c r="B178" s="19" t="str">
        <f>IF(A178&lt;&gt;"",VLOOKUP(MONTH(A178),Apoio!$A$2:$B$13,2,0),"")</f>
        <v>Dez</v>
      </c>
      <c r="C178" s="40">
        <f>IF(A178&lt;&gt;"",YEAR(Tabela1[[#This Row],[Data]]),"")</f>
        <v>2022</v>
      </c>
      <c r="D178" s="20">
        <v>294.10000000000002</v>
      </c>
      <c r="E178" s="19" t="s">
        <v>11</v>
      </c>
      <c r="F178" s="21" t="s">
        <v>50</v>
      </c>
      <c r="G178" s="21" t="s">
        <v>51</v>
      </c>
      <c r="H178" s="21" t="s">
        <v>14</v>
      </c>
      <c r="I178" s="23" t="s">
        <v>49</v>
      </c>
    </row>
    <row r="179" spans="1:9" ht="15.75" x14ac:dyDescent="0.25">
      <c r="A179" s="22">
        <v>44900</v>
      </c>
      <c r="B179" s="19" t="str">
        <f>IF(A179&lt;&gt;"",VLOOKUP(MONTH(A179),Apoio!$A$2:$B$13,2,0),"")</f>
        <v>Dez</v>
      </c>
      <c r="C179" s="40">
        <f>IF(A179&lt;&gt;"",YEAR(Tabela1[[#This Row],[Data]]),"")</f>
        <v>2022</v>
      </c>
      <c r="D179" s="20">
        <v>4134.37</v>
      </c>
      <c r="E179" s="19" t="s">
        <v>52</v>
      </c>
      <c r="F179" s="21" t="s">
        <v>53</v>
      </c>
      <c r="G179" s="21" t="s">
        <v>54</v>
      </c>
      <c r="H179" s="21" t="s">
        <v>14</v>
      </c>
      <c r="I179" s="23" t="s">
        <v>49</v>
      </c>
    </row>
    <row r="180" spans="1:9" ht="15.75" x14ac:dyDescent="0.25">
      <c r="A180" s="22">
        <v>44900</v>
      </c>
      <c r="B180" s="19" t="str">
        <f>IF(A180&lt;&gt;"",VLOOKUP(MONTH(A180),Apoio!$A$2:$B$13,2,0),"")</f>
        <v>Dez</v>
      </c>
      <c r="C180" s="40">
        <f>IF(A180&lt;&gt;"",YEAR(Tabela1[[#This Row],[Data]]),"")</f>
        <v>2022</v>
      </c>
      <c r="D180" s="20">
        <v>350</v>
      </c>
      <c r="E180" s="19" t="s">
        <v>11</v>
      </c>
      <c r="F180" s="21" t="s">
        <v>55</v>
      </c>
      <c r="G180" s="21" t="s">
        <v>55</v>
      </c>
      <c r="H180" s="21" t="s">
        <v>14</v>
      </c>
      <c r="I180" s="23" t="s">
        <v>49</v>
      </c>
    </row>
    <row r="181" spans="1:9" ht="15.75" x14ac:dyDescent="0.25">
      <c r="A181" s="22">
        <v>44900</v>
      </c>
      <c r="B181" s="19" t="str">
        <f>IF(A181&lt;&gt;"",VLOOKUP(MONTH(A181),Apoio!$A$2:$B$13,2,0),"")</f>
        <v>Dez</v>
      </c>
      <c r="C181" s="40">
        <f>IF(A181&lt;&gt;"",YEAR(Tabela1[[#This Row],[Data]]),"")</f>
        <v>2022</v>
      </c>
      <c r="D181" s="20">
        <v>1447.03</v>
      </c>
      <c r="E181" s="19" t="s">
        <v>11</v>
      </c>
      <c r="F181" s="21" t="s">
        <v>56</v>
      </c>
      <c r="G181" s="21" t="s">
        <v>57</v>
      </c>
      <c r="H181" s="21" t="s">
        <v>14</v>
      </c>
      <c r="I181" s="23" t="s">
        <v>41</v>
      </c>
    </row>
    <row r="182" spans="1:9" ht="15.75" x14ac:dyDescent="0.25">
      <c r="A182" s="22">
        <v>44905</v>
      </c>
      <c r="B182" s="19" t="str">
        <f>IF(A182&lt;&gt;"",VLOOKUP(MONTH(A182),Apoio!$A$2:$B$13,2,0),"")</f>
        <v>Dez</v>
      </c>
      <c r="C182" s="40">
        <f>IF(A182&lt;&gt;"",YEAR(Tabela1[[#This Row],[Data]]),"")</f>
        <v>2022</v>
      </c>
      <c r="D182" s="20">
        <v>25.83</v>
      </c>
      <c r="E182" s="19" t="s">
        <v>11</v>
      </c>
      <c r="F182" s="21" t="s">
        <v>16</v>
      </c>
      <c r="G182" s="21" t="s">
        <v>17</v>
      </c>
      <c r="H182" s="21" t="s">
        <v>14</v>
      </c>
      <c r="I182" s="23" t="s">
        <v>49</v>
      </c>
    </row>
    <row r="183" spans="1:9" ht="15.75" x14ac:dyDescent="0.25">
      <c r="A183" s="22">
        <v>44905</v>
      </c>
      <c r="B183" s="19" t="str">
        <f>IF(A183&lt;&gt;"",VLOOKUP(MONTH(A183),Apoio!$A$2:$B$13,2,0),"")</f>
        <v>Dez</v>
      </c>
      <c r="C183" s="40">
        <f>IF(A183&lt;&gt;"",YEAR(Tabela1[[#This Row],[Data]]),"")</f>
        <v>2022</v>
      </c>
      <c r="D183" s="20">
        <v>520.24</v>
      </c>
      <c r="E183" s="19" t="s">
        <v>11</v>
      </c>
      <c r="F183" s="21" t="s">
        <v>16</v>
      </c>
      <c r="G183" s="21" t="s">
        <v>18</v>
      </c>
      <c r="H183" s="21" t="s">
        <v>14</v>
      </c>
      <c r="I183" s="23" t="s">
        <v>49</v>
      </c>
    </row>
    <row r="184" spans="1:9" ht="15.75" x14ac:dyDescent="0.25">
      <c r="A184" s="22">
        <v>44905</v>
      </c>
      <c r="B184" s="19" t="str">
        <f>IF(A184&lt;&gt;"",VLOOKUP(MONTH(A184),Apoio!$A$2:$B$13,2,0),"")</f>
        <v>Dez</v>
      </c>
      <c r="C184" s="40">
        <f>IF(A184&lt;&gt;"",YEAR(Tabela1[[#This Row],[Data]]),"")</f>
        <v>2022</v>
      </c>
      <c r="D184" s="20">
        <v>650.49</v>
      </c>
      <c r="E184" s="19" t="s">
        <v>11</v>
      </c>
      <c r="F184" s="21" t="s">
        <v>16</v>
      </c>
      <c r="G184" s="21" t="s">
        <v>19</v>
      </c>
      <c r="H184" s="21" t="s">
        <v>14</v>
      </c>
      <c r="I184" s="23" t="s">
        <v>49</v>
      </c>
    </row>
    <row r="185" spans="1:9" ht="15.75" x14ac:dyDescent="0.25">
      <c r="A185" s="22">
        <v>44905</v>
      </c>
      <c r="B185" s="19" t="str">
        <f>IF(A185&lt;&gt;"",VLOOKUP(MONTH(A185),Apoio!$A$2:$B$13,2,0),"")</f>
        <v>Dez</v>
      </c>
      <c r="C185" s="40">
        <f>IF(A185&lt;&gt;"",YEAR(Tabela1[[#This Row],[Data]]),"")</f>
        <v>2022</v>
      </c>
      <c r="D185" s="20">
        <v>69.900000000000006</v>
      </c>
      <c r="E185" s="19" t="s">
        <v>11</v>
      </c>
      <c r="F185" s="21" t="s">
        <v>58</v>
      </c>
      <c r="G185" s="21" t="s">
        <v>59</v>
      </c>
      <c r="H185" s="21" t="s">
        <v>14</v>
      </c>
      <c r="I185" s="23" t="s">
        <v>49</v>
      </c>
    </row>
    <row r="186" spans="1:9" ht="15.75" x14ac:dyDescent="0.25">
      <c r="A186" s="22">
        <v>44910</v>
      </c>
      <c r="B186" s="19" t="str">
        <f>IF(A186&lt;&gt;"",VLOOKUP(MONTH(A186),Apoio!$A$2:$B$13,2,0),"")</f>
        <v>Dez</v>
      </c>
      <c r="C186" s="40">
        <f>IF(A186&lt;&gt;"",YEAR(Tabela1[[#This Row],[Data]]),"")</f>
        <v>2022</v>
      </c>
      <c r="D186" s="20">
        <v>14.9</v>
      </c>
      <c r="E186" s="19" t="s">
        <v>11</v>
      </c>
      <c r="F186" s="21" t="s">
        <v>26</v>
      </c>
      <c r="G186" s="21" t="s">
        <v>60</v>
      </c>
      <c r="H186" s="21" t="s">
        <v>14</v>
      </c>
      <c r="I186" s="23" t="s">
        <v>49</v>
      </c>
    </row>
    <row r="187" spans="1:9" ht="15.75" x14ac:dyDescent="0.25">
      <c r="A187" s="22">
        <v>44910</v>
      </c>
      <c r="B187" s="19" t="str">
        <f>IF(A187&lt;&gt;"",VLOOKUP(MONTH(A187),Apoio!$A$2:$B$13,2,0),"")</f>
        <v>Dez</v>
      </c>
      <c r="C187" s="40">
        <f>IF(A187&lt;&gt;"",YEAR(Tabela1[[#This Row],[Data]]),"")</f>
        <v>2022</v>
      </c>
      <c r="D187" s="20">
        <v>99</v>
      </c>
      <c r="E187" s="19" t="s">
        <v>11</v>
      </c>
      <c r="F187" s="21" t="s">
        <v>58</v>
      </c>
      <c r="G187" s="21" t="s">
        <v>61</v>
      </c>
      <c r="H187" s="21" t="s">
        <v>14</v>
      </c>
      <c r="I187" s="23" t="s">
        <v>49</v>
      </c>
    </row>
    <row r="188" spans="1:9" ht="15.75" x14ac:dyDescent="0.25">
      <c r="A188" s="22">
        <v>44915</v>
      </c>
      <c r="B188" s="19" t="str">
        <f>IF(A188&lt;&gt;"",VLOOKUP(MONTH(A188),Apoio!$A$2:$B$13,2,0),"")</f>
        <v>Dez</v>
      </c>
      <c r="C188" s="40">
        <f>IF(A188&lt;&gt;"",YEAR(Tabela1[[#This Row],[Data]]),"")</f>
        <v>2022</v>
      </c>
      <c r="D188" s="20">
        <v>363.82</v>
      </c>
      <c r="E188" s="19" t="s">
        <v>11</v>
      </c>
      <c r="F188" s="21" t="s">
        <v>50</v>
      </c>
      <c r="G188" s="21" t="s">
        <v>62</v>
      </c>
      <c r="H188" s="21" t="s">
        <v>14</v>
      </c>
      <c r="I188" s="23" t="s">
        <v>49</v>
      </c>
    </row>
    <row r="189" spans="1:9" ht="15.75" x14ac:dyDescent="0.25">
      <c r="A189" s="22">
        <v>44915</v>
      </c>
      <c r="B189" s="19" t="str">
        <f>IF(A189&lt;&gt;"",VLOOKUP(MONTH(A189),Apoio!$A$2:$B$13,2,0),"")</f>
        <v>Dez</v>
      </c>
      <c r="C189" s="40">
        <f>IF(A189&lt;&gt;"",YEAR(Tabela1[[#This Row],[Data]]),"")</f>
        <v>2022</v>
      </c>
      <c r="D189" s="20">
        <v>4633.79</v>
      </c>
      <c r="E189" s="19" t="s">
        <v>52</v>
      </c>
      <c r="F189" s="21" t="s">
        <v>53</v>
      </c>
      <c r="G189" s="21" t="s">
        <v>63</v>
      </c>
      <c r="H189" s="21" t="s">
        <v>14</v>
      </c>
      <c r="I189" s="23" t="s">
        <v>49</v>
      </c>
    </row>
    <row r="190" spans="1:9" ht="15.75" x14ac:dyDescent="0.25">
      <c r="A190" s="22">
        <v>44916</v>
      </c>
      <c r="B190" s="19" t="str">
        <f>IF(A190&lt;&gt;"",VLOOKUP(MONTH(A190),Apoio!$A$2:$B$13,2,0),"")</f>
        <v>Dez</v>
      </c>
      <c r="C190" s="40">
        <f>IF(A190&lt;&gt;"",YEAR(Tabela1[[#This Row],[Data]]),"")</f>
        <v>2022</v>
      </c>
      <c r="D190" s="20">
        <v>206.52</v>
      </c>
      <c r="E190" s="19" t="s">
        <v>11</v>
      </c>
      <c r="F190" s="21" t="s">
        <v>42</v>
      </c>
      <c r="G190" s="21" t="s">
        <v>43</v>
      </c>
      <c r="H190" s="21" t="s">
        <v>14</v>
      </c>
      <c r="I190" s="23" t="s">
        <v>49</v>
      </c>
    </row>
    <row r="191" spans="1:9" ht="15.75" x14ac:dyDescent="0.25">
      <c r="A191" s="22">
        <v>44916</v>
      </c>
      <c r="B191" s="19" t="str">
        <f>IF(A191&lt;&gt;"",VLOOKUP(MONTH(A191),Apoio!$A$2:$B$13,2,0),"")</f>
        <v>Dez</v>
      </c>
      <c r="C191" s="40">
        <f>IF(A191&lt;&gt;"",YEAR(Tabela1[[#This Row],[Data]]),"")</f>
        <v>2022</v>
      </c>
      <c r="D191" s="20">
        <v>95.14</v>
      </c>
      <c r="E191" s="19" t="s">
        <v>11</v>
      </c>
      <c r="F191" s="21" t="s">
        <v>42</v>
      </c>
      <c r="G191" s="21" t="s">
        <v>44</v>
      </c>
      <c r="H191" s="21" t="s">
        <v>14</v>
      </c>
      <c r="I191" s="23" t="s">
        <v>49</v>
      </c>
    </row>
    <row r="192" spans="1:9" ht="15.75" x14ac:dyDescent="0.25">
      <c r="A192" s="22">
        <v>44917</v>
      </c>
      <c r="B192" s="19" t="str">
        <f>IF(A192&lt;&gt;"",VLOOKUP(MONTH(A192),Apoio!$A$2:$B$13,2,0),"")</f>
        <v>Dez</v>
      </c>
      <c r="C192" s="40">
        <f>IF(A192&lt;&gt;"",YEAR(Tabela1[[#This Row],[Data]]),"")</f>
        <v>2022</v>
      </c>
      <c r="D192" s="20">
        <v>80</v>
      </c>
      <c r="E192" s="19" t="s">
        <v>11</v>
      </c>
      <c r="F192" s="21" t="s">
        <v>39</v>
      </c>
      <c r="G192" s="21" t="s">
        <v>46</v>
      </c>
      <c r="H192" s="21" t="s">
        <v>14</v>
      </c>
      <c r="I192" s="23" t="s">
        <v>49</v>
      </c>
    </row>
    <row r="193" spans="1:9" ht="15.75" x14ac:dyDescent="0.25">
      <c r="A193" s="22">
        <v>44918</v>
      </c>
      <c r="B193" s="19" t="str">
        <f>IF(A193&lt;&gt;"",VLOOKUP(MONTH(A193),Apoio!$A$2:$B$13,2,0),"")</f>
        <v>Dez</v>
      </c>
      <c r="C193" s="40">
        <f>IF(A193&lt;&gt;"",YEAR(Tabela1[[#This Row],[Data]]),"")</f>
        <v>2022</v>
      </c>
      <c r="D193" s="20">
        <v>8.9</v>
      </c>
      <c r="E193" s="19" t="s">
        <v>11</v>
      </c>
      <c r="F193" s="21" t="s">
        <v>28</v>
      </c>
      <c r="G193" s="21" t="s">
        <v>29</v>
      </c>
      <c r="H193" s="21" t="s">
        <v>25</v>
      </c>
      <c r="I193" s="23" t="s">
        <v>41</v>
      </c>
    </row>
    <row r="194" spans="1:9" ht="15.75" x14ac:dyDescent="0.25">
      <c r="A194" s="22">
        <v>44918</v>
      </c>
      <c r="B194" s="19" t="str">
        <f>IF(A194&lt;&gt;"",VLOOKUP(MONTH(A194),Apoio!$A$2:$B$13,2,0),"")</f>
        <v>Dez</v>
      </c>
      <c r="C194" s="40">
        <f>IF(A194&lt;&gt;"",YEAR(Tabela1[[#This Row],[Data]]),"")</f>
        <v>2022</v>
      </c>
      <c r="D194" s="20">
        <v>9.9</v>
      </c>
      <c r="E194" s="19" t="s">
        <v>11</v>
      </c>
      <c r="F194" s="21" t="s">
        <v>28</v>
      </c>
      <c r="G194" s="21" t="s">
        <v>30</v>
      </c>
      <c r="H194" s="21" t="s">
        <v>25</v>
      </c>
      <c r="I194" s="23" t="s">
        <v>41</v>
      </c>
    </row>
    <row r="195" spans="1:9" ht="15.75" x14ac:dyDescent="0.25">
      <c r="A195" s="22">
        <v>44918</v>
      </c>
      <c r="B195" s="19" t="str">
        <f>IF(A195&lt;&gt;"",VLOOKUP(MONTH(A195),Apoio!$A$2:$B$13,2,0),"")</f>
        <v>Dez</v>
      </c>
      <c r="C195" s="40">
        <f>IF(A195&lt;&gt;"",YEAR(Tabela1[[#This Row],[Data]]),"")</f>
        <v>2022</v>
      </c>
      <c r="D195" s="20">
        <v>100</v>
      </c>
      <c r="E195" s="19" t="s">
        <v>11</v>
      </c>
      <c r="F195" s="21" t="s">
        <v>37</v>
      </c>
      <c r="G195" s="21" t="s">
        <v>38</v>
      </c>
      <c r="H195" s="21" t="s">
        <v>36</v>
      </c>
      <c r="I195" s="23" t="s">
        <v>49</v>
      </c>
    </row>
    <row r="196" spans="1:9" ht="15.75" x14ac:dyDescent="0.25">
      <c r="A196" s="28">
        <v>44920</v>
      </c>
      <c r="B196" s="29" t="str">
        <f>IF(A196&lt;&gt;"",VLOOKUP(MONTH(A196),Apoio!$A$2:$B$13,2,0),"")</f>
        <v>Dez</v>
      </c>
      <c r="C196" s="41">
        <f>IF(A196&lt;&gt;"",YEAR(Tabela1[[#This Row],[Data]]),"")</f>
        <v>2022</v>
      </c>
      <c r="D196" s="30">
        <v>30.24</v>
      </c>
      <c r="E196" s="29" t="s">
        <v>11</v>
      </c>
      <c r="F196" s="31" t="s">
        <v>39</v>
      </c>
      <c r="G196" s="31" t="s">
        <v>40</v>
      </c>
      <c r="H196" s="31" t="s">
        <v>14</v>
      </c>
      <c r="I196" s="32" t="s">
        <v>49</v>
      </c>
    </row>
  </sheetData>
  <sortState xmlns:xlrd2="http://schemas.microsoft.com/office/spreadsheetml/2017/richdata2" ref="A2:I194">
    <sortCondition ref="A2:A194"/>
  </sortState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1BF2656-AF4C-4B66-95D3-171987380F28}">
          <x14:formula1>
            <xm:f>Apoio!$F$2:$F$3</xm:f>
          </x14:formula1>
          <xm:sqref>E2:E4</xm:sqref>
        </x14:dataValidation>
        <x14:dataValidation type="list" allowBlank="1" showInputMessage="1" showErrorMessage="1" xr:uid="{9D03B29D-C129-4D9C-A531-64F4B0E78593}">
          <x14:formula1>
            <xm:f>Apoio!$E$2:$E$27</xm:f>
          </x14:formula1>
          <xm:sqref>F2:F4</xm:sqref>
        </x14:dataValidation>
        <x14:dataValidation type="list" allowBlank="1" showInputMessage="1" showErrorMessage="1" xr:uid="{1E515CE9-5DEB-4F8F-A8F4-BB87459A3FA5}">
          <x14:formula1>
            <xm:f>Apoio!$I$2:$I$5</xm:f>
          </x14:formula1>
          <xm:sqref>H2:H4</xm:sqref>
        </x14:dataValidation>
        <x14:dataValidation type="list" allowBlank="1" showInputMessage="1" showErrorMessage="1" xr:uid="{B48B66FE-5CBD-4A59-B14E-DCB76C446CE0}">
          <x14:formula1>
            <xm:f>Apoio!$H$2:$H$5</xm:f>
          </x14:formula1>
          <xm:sqref>I2:I4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0F586-F281-4BD4-80DB-EF4117062403}">
  <dimension ref="A1:P30"/>
  <sheetViews>
    <sheetView topLeftCell="J1" workbookViewId="0">
      <selection activeCell="P5" sqref="P5"/>
    </sheetView>
  </sheetViews>
  <sheetFormatPr defaultRowHeight="15" x14ac:dyDescent="0.25"/>
  <cols>
    <col min="1" max="1" width="3.5703125" customWidth="1"/>
    <col min="2" max="2" width="5.28515625" customWidth="1"/>
    <col min="3" max="3" width="2.7109375" customWidth="1"/>
    <col min="4" max="4" width="4.140625" customWidth="1"/>
    <col min="5" max="5" width="17.7109375" customWidth="1"/>
    <col min="6" max="6" width="9.140625" style="2"/>
    <col min="7" max="7" width="3" customWidth="1"/>
    <col min="8" max="8" width="12.5703125" customWidth="1"/>
    <col min="9" max="9" width="12" customWidth="1"/>
    <col min="12" max="12" width="20.42578125" customWidth="1"/>
    <col min="13" max="13" width="11.140625" style="1" customWidth="1"/>
    <col min="15" max="15" width="18" bestFit="1" customWidth="1"/>
    <col min="16" max="16" width="13.85546875" style="34" bestFit="1" customWidth="1"/>
    <col min="17" max="17" width="7" bestFit="1" customWidth="1"/>
    <col min="18" max="18" width="8.5703125" bestFit="1" customWidth="1"/>
    <col min="19" max="26" width="9.5703125" bestFit="1" customWidth="1"/>
    <col min="27" max="27" width="10.7109375" bestFit="1" customWidth="1"/>
  </cols>
  <sheetData>
    <row r="1" spans="1:16" s="4" customFormat="1" x14ac:dyDescent="0.25">
      <c r="A1" s="3" t="s">
        <v>8</v>
      </c>
      <c r="B1" s="3"/>
      <c r="D1" s="3" t="s">
        <v>75</v>
      </c>
      <c r="E1" s="3"/>
      <c r="F1" s="5" t="s">
        <v>3</v>
      </c>
      <c r="H1" s="4" t="s">
        <v>7</v>
      </c>
      <c r="I1" s="4" t="s">
        <v>76</v>
      </c>
      <c r="L1" s="4" t="s">
        <v>77</v>
      </c>
      <c r="M1" s="6"/>
      <c r="O1"/>
      <c r="P1" s="34"/>
    </row>
    <row r="2" spans="1:16" x14ac:dyDescent="0.25">
      <c r="A2">
        <v>1</v>
      </c>
      <c r="B2" t="s">
        <v>78</v>
      </c>
      <c r="D2">
        <v>1</v>
      </c>
      <c r="E2" t="s">
        <v>53</v>
      </c>
      <c r="F2" s="2" t="s">
        <v>52</v>
      </c>
      <c r="H2" t="s">
        <v>79</v>
      </c>
      <c r="I2" t="s">
        <v>14</v>
      </c>
      <c r="L2" t="s">
        <v>53</v>
      </c>
      <c r="M2" s="34">
        <f>SUMIF('Base de Dados'!F:F,Apoio!L2,'Base de Dados'!D:D)</f>
        <v>81256.28</v>
      </c>
      <c r="P2"/>
    </row>
    <row r="3" spans="1:16" x14ac:dyDescent="0.25">
      <c r="A3">
        <v>2</v>
      </c>
      <c r="B3" t="s">
        <v>80</v>
      </c>
      <c r="D3">
        <v>2</v>
      </c>
      <c r="E3" t="s">
        <v>39</v>
      </c>
      <c r="F3" s="2" t="s">
        <v>11</v>
      </c>
      <c r="H3" t="s">
        <v>49</v>
      </c>
      <c r="I3" t="s">
        <v>36</v>
      </c>
      <c r="L3" t="s">
        <v>56</v>
      </c>
      <c r="M3" s="34">
        <f>SUMIF('Base de Dados'!F:F,Apoio!L3,'Base de Dados'!D:D)</f>
        <v>11576.240000000002</v>
      </c>
    </row>
    <row r="4" spans="1:16" x14ac:dyDescent="0.25">
      <c r="A4">
        <v>3</v>
      </c>
      <c r="B4" t="s">
        <v>81</v>
      </c>
      <c r="D4">
        <v>3</v>
      </c>
      <c r="E4" t="s">
        <v>34</v>
      </c>
      <c r="H4" t="s">
        <v>41</v>
      </c>
      <c r="I4" t="s">
        <v>25</v>
      </c>
      <c r="L4" t="s">
        <v>16</v>
      </c>
      <c r="M4" s="34">
        <f>SUMIF('Base de Dados'!F:F,Apoio!L4,'Base de Dados'!D:D)</f>
        <v>10975.039999999997</v>
      </c>
      <c r="O4" s="37" t="s">
        <v>94</v>
      </c>
      <c r="P4" s="34" t="s">
        <v>95</v>
      </c>
    </row>
    <row r="5" spans="1:16" x14ac:dyDescent="0.25">
      <c r="A5">
        <v>4</v>
      </c>
      <c r="B5" t="s">
        <v>10</v>
      </c>
      <c r="D5">
        <v>4</v>
      </c>
      <c r="E5" t="s">
        <v>47</v>
      </c>
      <c r="H5" t="s">
        <v>15</v>
      </c>
      <c r="I5" t="s">
        <v>82</v>
      </c>
      <c r="L5" t="s">
        <v>50</v>
      </c>
      <c r="M5" s="34">
        <f>SUMIF('Base de Dados'!F:F,Apoio!L5,'Base de Dados'!D:D)</f>
        <v>5263.3600000000006</v>
      </c>
      <c r="O5" s="38" t="s">
        <v>39</v>
      </c>
      <c r="P5" s="34">
        <v>1607.89</v>
      </c>
    </row>
    <row r="6" spans="1:16" x14ac:dyDescent="0.25">
      <c r="A6">
        <v>5</v>
      </c>
      <c r="B6" t="s">
        <v>45</v>
      </c>
      <c r="D6">
        <v>5</v>
      </c>
      <c r="E6" t="s">
        <v>83</v>
      </c>
      <c r="L6" t="s">
        <v>55</v>
      </c>
      <c r="M6" s="34">
        <f>SUMIF('Base de Dados'!F:F,Apoio!L6,'Base de Dados'!D:D)</f>
        <v>3300</v>
      </c>
      <c r="O6" s="38" t="s">
        <v>34</v>
      </c>
      <c r="P6" s="34">
        <v>12</v>
      </c>
    </row>
    <row r="7" spans="1:16" x14ac:dyDescent="0.25">
      <c r="A7">
        <v>6</v>
      </c>
      <c r="B7" t="s">
        <v>66</v>
      </c>
      <c r="D7">
        <v>6</v>
      </c>
      <c r="E7" t="s">
        <v>84</v>
      </c>
      <c r="L7" t="s">
        <v>12</v>
      </c>
      <c r="M7" s="34">
        <f>SUMIF('Base de Dados'!F:F,Apoio!L7,'Base de Dados'!D:D)</f>
        <v>2880</v>
      </c>
      <c r="O7" s="38" t="s">
        <v>47</v>
      </c>
      <c r="P7" s="34">
        <v>63.76</v>
      </c>
    </row>
    <row r="8" spans="1:16" x14ac:dyDescent="0.25">
      <c r="A8">
        <v>7</v>
      </c>
      <c r="B8" t="s">
        <v>68</v>
      </c>
      <c r="D8">
        <v>7</v>
      </c>
      <c r="E8" t="s">
        <v>42</v>
      </c>
      <c r="L8" t="s">
        <v>42</v>
      </c>
      <c r="M8" s="34">
        <f>SUMIF('Base de Dados'!F:F,Apoio!L8,'Base de Dados'!D:D)</f>
        <v>2714.94</v>
      </c>
      <c r="O8" s="38" t="s">
        <v>53</v>
      </c>
      <c r="P8" s="34">
        <v>81256.28</v>
      </c>
    </row>
    <row r="9" spans="1:16" x14ac:dyDescent="0.25">
      <c r="A9">
        <v>8</v>
      </c>
      <c r="B9" t="s">
        <v>69</v>
      </c>
      <c r="D9">
        <v>8</v>
      </c>
      <c r="E9" t="s">
        <v>12</v>
      </c>
      <c r="L9" t="s">
        <v>37</v>
      </c>
      <c r="M9" s="34">
        <f>SUMIF('Base de Dados'!F:F,Apoio!L9,'Base de Dados'!D:D)</f>
        <v>2010</v>
      </c>
      <c r="O9" s="38" t="s">
        <v>42</v>
      </c>
      <c r="P9" s="34">
        <v>2714.94</v>
      </c>
    </row>
    <row r="10" spans="1:16" x14ac:dyDescent="0.25">
      <c r="A10">
        <v>9</v>
      </c>
      <c r="B10" t="s">
        <v>70</v>
      </c>
      <c r="D10">
        <v>9</v>
      </c>
      <c r="E10" t="s">
        <v>85</v>
      </c>
      <c r="L10" t="s">
        <v>39</v>
      </c>
      <c r="M10" s="34">
        <f>SUMIF('Base de Dados'!F:F,Apoio!L10,'Base de Dados'!D:D)</f>
        <v>1607.89</v>
      </c>
      <c r="O10" s="38" t="s">
        <v>12</v>
      </c>
      <c r="P10" s="34">
        <v>2880</v>
      </c>
    </row>
    <row r="11" spans="1:16" x14ac:dyDescent="0.25">
      <c r="A11">
        <v>10</v>
      </c>
      <c r="B11" t="s">
        <v>72</v>
      </c>
      <c r="D11">
        <v>10</v>
      </c>
      <c r="E11" t="s">
        <v>86</v>
      </c>
      <c r="L11" t="s">
        <v>58</v>
      </c>
      <c r="M11" s="34">
        <f>SUMIF('Base de Dados'!F:F,Apoio!L11,'Base de Dados'!D:D)</f>
        <v>1351.2</v>
      </c>
      <c r="O11" s="38" t="s">
        <v>20</v>
      </c>
      <c r="P11" s="34">
        <v>183.9</v>
      </c>
    </row>
    <row r="12" spans="1:16" x14ac:dyDescent="0.25">
      <c r="A12">
        <v>11</v>
      </c>
      <c r="B12" t="s">
        <v>73</v>
      </c>
      <c r="D12">
        <v>11</v>
      </c>
      <c r="E12" t="s">
        <v>20</v>
      </c>
      <c r="L12" t="s">
        <v>32</v>
      </c>
      <c r="M12" s="34">
        <f>SUMIF('Base de Dados'!F:F,Apoio!L12,'Base de Dados'!D:D)</f>
        <v>533.75</v>
      </c>
      <c r="O12" s="38" t="s">
        <v>50</v>
      </c>
      <c r="P12" s="34">
        <v>5263.3600000000006</v>
      </c>
    </row>
    <row r="13" spans="1:16" x14ac:dyDescent="0.25">
      <c r="A13">
        <v>12</v>
      </c>
      <c r="B13" t="s">
        <v>74</v>
      </c>
      <c r="D13">
        <v>12</v>
      </c>
      <c r="E13" t="s">
        <v>50</v>
      </c>
      <c r="L13" t="s">
        <v>20</v>
      </c>
      <c r="M13" s="34">
        <f>SUMIF('Base de Dados'!F:F,Apoio!L13,'Base de Dados'!D:D)</f>
        <v>183.9</v>
      </c>
      <c r="O13" s="38" t="s">
        <v>58</v>
      </c>
      <c r="P13" s="34">
        <v>1351.2</v>
      </c>
    </row>
    <row r="14" spans="1:16" x14ac:dyDescent="0.25">
      <c r="D14">
        <v>13</v>
      </c>
      <c r="E14" t="s">
        <v>58</v>
      </c>
      <c r="L14" t="s">
        <v>28</v>
      </c>
      <c r="M14" s="34">
        <f>SUMIF('Base de Dados'!F:F,Apoio!L14,'Base de Dados'!D:D)</f>
        <v>167.20000000000005</v>
      </c>
      <c r="O14" s="38" t="s">
        <v>28</v>
      </c>
      <c r="P14" s="34">
        <v>167.20000000000005</v>
      </c>
    </row>
    <row r="15" spans="1:16" x14ac:dyDescent="0.25">
      <c r="D15">
        <v>14</v>
      </c>
      <c r="E15" t="s">
        <v>87</v>
      </c>
      <c r="L15" t="s">
        <v>26</v>
      </c>
      <c r="M15" s="34">
        <f>SUMIF('Base de Dados'!F:F,Apoio!L15,'Base de Dados'!D:D)</f>
        <v>166.20000000000002</v>
      </c>
      <c r="O15" s="38" t="s">
        <v>23</v>
      </c>
      <c r="P15" s="34">
        <v>144.65</v>
      </c>
    </row>
    <row r="16" spans="1:16" x14ac:dyDescent="0.25">
      <c r="D16">
        <v>15</v>
      </c>
      <c r="E16" t="s">
        <v>28</v>
      </c>
      <c r="L16" t="s">
        <v>23</v>
      </c>
      <c r="M16" s="34">
        <f>SUMIF('Base de Dados'!F:F,Apoio!L16,'Base de Dados'!D:D)</f>
        <v>144.65</v>
      </c>
      <c r="O16" s="38" t="s">
        <v>56</v>
      </c>
      <c r="P16" s="34">
        <v>11576.240000000002</v>
      </c>
    </row>
    <row r="17" spans="4:16" x14ac:dyDescent="0.25">
      <c r="D17">
        <v>16</v>
      </c>
      <c r="E17" t="s">
        <v>23</v>
      </c>
      <c r="L17" t="s">
        <v>47</v>
      </c>
      <c r="M17" s="34">
        <f>SUMIF('Base de Dados'!F:F,Apoio!L17,'Base de Dados'!D:D)</f>
        <v>63.76</v>
      </c>
      <c r="O17" s="38" t="s">
        <v>16</v>
      </c>
      <c r="P17" s="34">
        <v>10975.039999999997</v>
      </c>
    </row>
    <row r="18" spans="4:16" x14ac:dyDescent="0.25">
      <c r="D18">
        <v>17</v>
      </c>
      <c r="E18" t="s">
        <v>56</v>
      </c>
      <c r="L18" t="s">
        <v>34</v>
      </c>
      <c r="M18" s="34">
        <f>SUMIF('Base de Dados'!F:F,Apoio!L18,'Base de Dados'!D:D)</f>
        <v>12</v>
      </c>
      <c r="O18" s="38" t="s">
        <v>32</v>
      </c>
      <c r="P18" s="34">
        <v>533.75</v>
      </c>
    </row>
    <row r="19" spans="4:16" x14ac:dyDescent="0.25">
      <c r="D19">
        <v>18</v>
      </c>
      <c r="E19" t="s">
        <v>88</v>
      </c>
      <c r="L19" t="s">
        <v>83</v>
      </c>
      <c r="M19" s="34">
        <f>SUMIF('Base de Dados'!F:F,Apoio!L19,'Base de Dados'!D:D)</f>
        <v>0</v>
      </c>
      <c r="O19" s="38" t="s">
        <v>26</v>
      </c>
      <c r="P19" s="34">
        <v>166.20000000000002</v>
      </c>
    </row>
    <row r="20" spans="4:16" x14ac:dyDescent="0.25">
      <c r="D20">
        <v>19</v>
      </c>
      <c r="E20" t="s">
        <v>16</v>
      </c>
      <c r="L20" t="s">
        <v>84</v>
      </c>
      <c r="M20" s="34">
        <f>SUMIF('Base de Dados'!F:F,Apoio!L20,'Base de Dados'!D:D)</f>
        <v>0</v>
      </c>
      <c r="O20" s="38" t="s">
        <v>55</v>
      </c>
      <c r="P20" s="34">
        <v>3300</v>
      </c>
    </row>
    <row r="21" spans="4:16" x14ac:dyDescent="0.25">
      <c r="D21">
        <v>20</v>
      </c>
      <c r="E21" t="s">
        <v>32</v>
      </c>
      <c r="L21" t="s">
        <v>85</v>
      </c>
      <c r="M21" s="34">
        <f>SUMIF('Base de Dados'!F:F,Apoio!L21,'Base de Dados'!D:D)</f>
        <v>0</v>
      </c>
      <c r="O21" s="38" t="s">
        <v>37</v>
      </c>
      <c r="P21" s="34">
        <v>2010</v>
      </c>
    </row>
    <row r="22" spans="4:16" x14ac:dyDescent="0.25">
      <c r="D22">
        <v>21</v>
      </c>
      <c r="E22" t="s">
        <v>26</v>
      </c>
      <c r="L22" t="s">
        <v>86</v>
      </c>
      <c r="M22" s="34">
        <f>SUMIF('Base de Dados'!F:F,Apoio!L22,'Base de Dados'!D:D)</f>
        <v>0</v>
      </c>
      <c r="O22" s="38" t="s">
        <v>89</v>
      </c>
      <c r="P22" s="34">
        <v>222</v>
      </c>
    </row>
    <row r="23" spans="4:16" x14ac:dyDescent="0.25">
      <c r="D23">
        <v>22</v>
      </c>
      <c r="E23" t="s">
        <v>55</v>
      </c>
      <c r="L23" t="s">
        <v>87</v>
      </c>
      <c r="M23" s="34">
        <f>SUMIF('Base de Dados'!F:F,Apoio!L23,'Base de Dados'!D:D)</f>
        <v>0</v>
      </c>
      <c r="O23" s="38" t="s">
        <v>96</v>
      </c>
      <c r="P23" s="34">
        <v>124428.40999999997</v>
      </c>
    </row>
    <row r="24" spans="4:16" x14ac:dyDescent="0.25">
      <c r="D24">
        <v>23</v>
      </c>
      <c r="E24" t="s">
        <v>37</v>
      </c>
      <c r="L24" t="s">
        <v>88</v>
      </c>
      <c r="M24" s="34">
        <f>SUMIF('Base de Dados'!F:F,Apoio!L24,'Base de Dados'!D:D)</f>
        <v>0</v>
      </c>
      <c r="P24"/>
    </row>
    <row r="25" spans="4:16" x14ac:dyDescent="0.25">
      <c r="D25">
        <v>24</v>
      </c>
      <c r="E25" t="s">
        <v>89</v>
      </c>
      <c r="L25" t="s">
        <v>89</v>
      </c>
      <c r="M25" s="34">
        <f>SUMIF('Base de Dados'!F:F,Apoio!L25,'Base de Dados'!D:D)</f>
        <v>222</v>
      </c>
    </row>
    <row r="27" spans="4:16" x14ac:dyDescent="0.25">
      <c r="L27" t="s">
        <v>90</v>
      </c>
      <c r="M27" s="34">
        <f>SUM(M3:M25)</f>
        <v>43172.13</v>
      </c>
    </row>
    <row r="30" spans="4:16" x14ac:dyDescent="0.25">
      <c r="M30" s="34">
        <f>M2-M27</f>
        <v>38084.15</v>
      </c>
    </row>
  </sheetData>
  <mergeCells count="2">
    <mergeCell ref="A1:B1"/>
    <mergeCell ref="D1:E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A0836-9563-456E-A22B-238B2AC60B5A}">
  <dimension ref="A1:T22"/>
  <sheetViews>
    <sheetView showGridLines="0" showRowColHeaders="0" workbookViewId="0">
      <selection activeCell="A18" sqref="A18"/>
    </sheetView>
  </sheetViews>
  <sheetFormatPr defaultRowHeight="15" x14ac:dyDescent="0.25"/>
  <sheetData>
    <row r="1" spans="1:20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</row>
    <row r="2" spans="1:20" x14ac:dyDescent="0.2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</row>
    <row r="3" spans="1:20" x14ac:dyDescent="0.2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</row>
    <row r="4" spans="1:20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</row>
    <row r="5" spans="1:20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</row>
    <row r="6" spans="1:20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</row>
    <row r="7" spans="1:20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</row>
    <row r="8" spans="1:20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</row>
    <row r="9" spans="1:20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</row>
    <row r="10" spans="1:20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</row>
    <row r="21" spans="1:20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</row>
    <row r="22" spans="1:20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</row>
  </sheetData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65955C-CD76-40BD-87B5-D0FD90BAB2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Principal</vt:lpstr>
      <vt:lpstr>Dados</vt:lpstr>
      <vt:lpstr>Base de Dados</vt:lpstr>
      <vt:lpstr>Apoio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Gutemberg</dc:creator>
  <cp:lastModifiedBy>Gutemberg</cp:lastModifiedBy>
  <dcterms:created xsi:type="dcterms:W3CDTF">2022-04-22T22:08:28Z</dcterms:created>
  <dcterms:modified xsi:type="dcterms:W3CDTF">2022-04-22T23:49:51Z</dcterms:modified>
</cp:coreProperties>
</file>